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arth_DA17\EXCEL\"/>
    </mc:Choice>
  </mc:AlternateContent>
  <xr:revisionPtr revIDLastSave="0" documentId="13_ncr:1_{DE67B42D-60ED-48DF-9C0E-68090DFCFEC6}" xr6:coauthVersionLast="47" xr6:coauthVersionMax="47" xr10:uidLastSave="{00000000-0000-0000-0000-000000000000}"/>
  <bookViews>
    <workbookView xWindow="-120" yWindow="-120" windowWidth="20730" windowHeight="11040" activeTab="3" xr2:uid="{486F7F70-5CD5-4833-B20E-0A5B307BDE2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4" l="1"/>
  <c r="N8" i="4"/>
  <c r="N6" i="4"/>
  <c r="I6" i="3"/>
  <c r="I7" i="3"/>
  <c r="I8" i="3"/>
  <c r="I5" i="3"/>
  <c r="H9" i="3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5" i="2"/>
  <c r="J7" i="1"/>
  <c r="J8" i="1"/>
  <c r="J9" i="1"/>
  <c r="J6" i="1"/>
  <c r="I6" i="1"/>
</calcChain>
</file>

<file path=xl/sharedStrings.xml><?xml version="1.0" encoding="utf-8"?>
<sst xmlns="http://schemas.openxmlformats.org/spreadsheetml/2006/main" count="128" uniqueCount="78">
  <si>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</si>
  <si>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</si>
  <si>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</si>
  <si>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</si>
  <si>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</si>
  <si>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</si>
  <si>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</si>
  <si>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</si>
  <si>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</si>
  <si>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</si>
  <si>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</si>
  <si>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</si>
  <si>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</si>
  <si>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</si>
  <si>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</si>
  <si>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</si>
  <si>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</si>
  <si>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</si>
  <si>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</si>
  <si>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</si>
  <si>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</si>
  <si>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</t>
  </si>
  <si>
    <t>Order Category</t>
  </si>
  <si>
    <t>Patient ID</t>
  </si>
  <si>
    <t>Name</t>
  </si>
  <si>
    <t>Age</t>
  </si>
  <si>
    <t>Gender</t>
  </si>
  <si>
    <t>Blood Group</t>
  </si>
  <si>
    <t>P101</t>
  </si>
  <si>
    <t>Rahul</t>
  </si>
  <si>
    <t>Male</t>
  </si>
  <si>
    <t>A+</t>
  </si>
  <si>
    <t>P102</t>
  </si>
  <si>
    <t>Sneha</t>
  </si>
  <si>
    <t>Female</t>
  </si>
  <si>
    <t>O-</t>
  </si>
  <si>
    <t>P103</t>
  </si>
  <si>
    <t>B+</t>
  </si>
  <si>
    <t>P104</t>
  </si>
  <si>
    <t>Meera</t>
  </si>
  <si>
    <t>AB+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</si>
  <si>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</si>
  <si>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</si>
  <si>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</si>
  <si>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</si>
  <si>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</si>
  <si>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</si>
  <si>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</si>
  <si>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</si>
  <si>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</si>
  <si>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</si>
  <si>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</si>
  <si>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</si>
  <si>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</si>
  <si>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Proper Case</t>
  </si>
  <si>
    <t>Movie</t>
  </si>
  <si>
    <t>Seats</t>
  </si>
  <si>
    <t>Ticket Price</t>
  </si>
  <si>
    <t>Avengers</t>
  </si>
  <si>
    <t>Superman</t>
  </si>
  <si>
    <t>Avatar</t>
  </si>
  <si>
    <t>Jurassic World</t>
  </si>
  <si>
    <t>Discount</t>
  </si>
  <si>
    <t>AM-1</t>
  </si>
  <si>
    <t>AM-2</t>
  </si>
  <si>
    <t>AM-3</t>
  </si>
  <si>
    <t>AM-4</t>
  </si>
  <si>
    <t>Booking ID</t>
  </si>
  <si>
    <t>Book ID</t>
  </si>
  <si>
    <t>Book Name</t>
  </si>
  <si>
    <t>Issue Date</t>
  </si>
  <si>
    <t>Return Date</t>
  </si>
  <si>
    <t>B101</t>
  </si>
  <si>
    <t>Python Programming</t>
  </si>
  <si>
    <t>B102</t>
  </si>
  <si>
    <t>Java Basics</t>
  </si>
  <si>
    <t>B103</t>
  </si>
  <si>
    <t>SQL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</si>
</sst>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9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/>
      <right/>
      <top style="medium">
        <color rgb="FFD1D9E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9" fontId="0" fillId="0" borderId="0" xfId="0" applyNumberFormat="1" applyFill="1"/>
    <xf numFmtId="0" fontId="0" fillId="0" borderId="3" xfId="0" applyFill="1" applyBorder="1" applyAlignment="1">
      <alignment horizontal="center"/>
    </xf>
    <xf numFmtId="16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9" fontId="3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44" fontId="3" fillId="2" borderId="1" xfId="1" applyFont="1" applyFill="1" applyBorder="1" applyAlignment="1">
      <alignment horizontal="right" vertical="center"/>
    </xf>
    <xf numFmtId="44" fontId="3" fillId="3" borderId="1" xfId="1" applyFont="1" applyFill="1" applyBorder="1" applyAlignment="1">
      <alignment horizontal="right" vertical="center"/>
    </xf>
    <xf numFmtId="0" fontId="0" fillId="5" borderId="6" xfId="0" applyFill="1" applyBorder="1" applyAlignment="1">
      <alignment horizontal="center"/>
    </xf>
    <xf numFmtId="44" fontId="0" fillId="5" borderId="0" xfId="1" applyFont="1" applyFill="1"/>
    <xf numFmtId="16" fontId="3" fillId="2" borderId="1" xfId="0" applyNumberFormat="1" applyFont="1" applyFill="1" applyBorder="1" applyAlignment="1">
      <alignment horizontal="left" vertical="center"/>
    </xf>
    <xf numFmtId="16" fontId="3" fillId="3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6" fontId="3" fillId="0" borderId="1" xfId="0" applyNumberFormat="1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89F0-CF24-4FA3-BF03-2620CE6E8CB3}">
  <dimension ref="C5:J10"/>
  <sheetViews>
    <sheetView workbookViewId="0">
      <selection activeCell="J11" sqref="J11"/>
    </sheetView>
  </sheetViews>
  <sheetFormatPr defaultRowHeight="15" x14ac:dyDescent="0.25"/>
  <cols>
    <col min="3" max="3" width="10.42578125" bestFit="1" customWidth="1"/>
    <col min="4" max="4" width="11.7109375" bestFit="1" customWidth="1"/>
    <col min="5" max="5" width="10.7109375" bestFit="1" customWidth="1"/>
    <col min="6" max="6" width="5.140625" bestFit="1" customWidth="1"/>
    <col min="7" max="7" width="13" bestFit="1" customWidth="1"/>
    <col min="8" max="8" width="10.85546875" bestFit="1" customWidth="1"/>
    <col min="9" max="9" width="17.28515625" customWidth="1"/>
    <col min="10" max="10" width="18.85546875" customWidth="1"/>
  </cols>
  <sheetData>
    <row r="5" spans="3:10" ht="17.25" x14ac:dyDescent="0.25"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6" t="s">
        <v>21</v>
      </c>
      <c r="J5" s="6" t="s">
        <v>22</v>
      </c>
    </row>
    <row r="6" spans="3:10" ht="17.25" x14ac:dyDescent="0.25">
      <c r="C6" s="11" t="s">
        <v>6</v>
      </c>
      <c r="D6" s="11" t="s">
        <v>7</v>
      </c>
      <c r="E6" s="11" t="s">
        <v>8</v>
      </c>
      <c r="F6" s="11">
        <v>2</v>
      </c>
      <c r="G6" s="12">
        <v>45000</v>
      </c>
      <c r="H6" s="11" t="s">
        <v>9</v>
      </c>
      <c r="I6" s="9">
        <f>SUM(G6:G9)</f>
        <v>113700</v>
      </c>
      <c r="J6" s="15" t="str">
        <f>IF(G6&gt;=50000,"Very High","Normal")</f>
        <v>Normal</v>
      </c>
    </row>
    <row r="7" spans="3:10" ht="17.25" x14ac:dyDescent="0.25">
      <c r="C7" s="13" t="s">
        <v>10</v>
      </c>
      <c r="D7" s="13" t="s">
        <v>11</v>
      </c>
      <c r="E7" s="13" t="s">
        <v>12</v>
      </c>
      <c r="F7" s="13">
        <v>5</v>
      </c>
      <c r="G7" s="14">
        <v>700</v>
      </c>
      <c r="H7" s="13" t="s">
        <v>13</v>
      </c>
      <c r="I7" s="10"/>
      <c r="J7" s="15" t="str">
        <f t="shared" ref="J7:J9" si="0">IF(G7&gt;=50000,"Very High","Normal")</f>
        <v>Normal</v>
      </c>
    </row>
    <row r="8" spans="3:10" ht="17.25" x14ac:dyDescent="0.25">
      <c r="C8" s="11" t="s">
        <v>14</v>
      </c>
      <c r="D8" s="11" t="s">
        <v>15</v>
      </c>
      <c r="E8" s="11" t="s">
        <v>16</v>
      </c>
      <c r="F8" s="11">
        <v>3</v>
      </c>
      <c r="G8" s="12">
        <v>50000</v>
      </c>
      <c r="H8" s="11" t="s">
        <v>9</v>
      </c>
      <c r="I8" s="10"/>
      <c r="J8" s="15" t="str">
        <f t="shared" si="0"/>
        <v>Very High</v>
      </c>
    </row>
    <row r="9" spans="3:10" ht="17.25" x14ac:dyDescent="0.25">
      <c r="C9" s="13" t="s">
        <v>17</v>
      </c>
      <c r="D9" s="13" t="s">
        <v>18</v>
      </c>
      <c r="E9" s="13" t="s">
        <v>19</v>
      </c>
      <c r="F9" s="13">
        <v>1</v>
      </c>
      <c r="G9" s="14">
        <v>18000</v>
      </c>
      <c r="H9" s="13" t="s">
        <v>20</v>
      </c>
      <c r="I9" s="10"/>
      <c r="J9" s="15" t="str">
        <f t="shared" si="0"/>
        <v>Normal</v>
      </c>
    </row>
    <row r="10" spans="3:10" x14ac:dyDescent="0.25">
      <c r="C10" s="8"/>
      <c r="D10" s="8"/>
      <c r="G10" s="7"/>
    </row>
  </sheetData>
  <mergeCells count="2">
    <mergeCell ref="C10:D10"/>
    <mergeCell ref="I6:I9"/>
  </mergeCells>
  <phoneticPr fontId="5" type="noConversion"/>
  <conditionalFormatting sqref="C6:H9">
    <cfRule type="cellIs" dxfId="17" priority="3" operator="equal">
      <formula>"Cancelled"</formula>
    </cfRule>
  </conditionalFormatting>
  <conditionalFormatting sqref="G6:G9">
    <cfRule type="cellIs" dxfId="13" priority="2" operator="greaterThan">
      <formula>50000</formula>
    </cfRule>
    <cfRule type="cellIs" dxfId="14" priority="1" operator="greaterThan">
      <formula>49000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3606-B34F-40DD-908B-4FA03EEF3EDC}">
  <dimension ref="D3:J21"/>
  <sheetViews>
    <sheetView topLeftCell="A4" workbookViewId="0">
      <selection activeCell="L12" sqref="L12"/>
    </sheetView>
  </sheetViews>
  <sheetFormatPr defaultRowHeight="15" x14ac:dyDescent="0.25"/>
  <cols>
    <col min="4" max="4" width="12.28515625" bestFit="1" customWidth="1"/>
    <col min="5" max="5" width="14.5703125" customWidth="1"/>
    <col min="6" max="6" width="5.5703125" bestFit="1" customWidth="1"/>
    <col min="7" max="7" width="9.42578125" bestFit="1" customWidth="1"/>
    <col min="8" max="8" width="15.5703125" bestFit="1" customWidth="1"/>
    <col min="9" max="9" width="13.140625" customWidth="1"/>
    <col min="10" max="10" width="15" bestFit="1" customWidth="1"/>
  </cols>
  <sheetData>
    <row r="3" spans="4:10" ht="15.75" thickBot="1" x14ac:dyDescent="0.3"/>
    <row r="4" spans="4:10" ht="17.25" x14ac:dyDescent="0.25">
      <c r="D4" s="17" t="s">
        <v>23</v>
      </c>
      <c r="E4" s="17" t="s">
        <v>24</v>
      </c>
      <c r="F4" s="17" t="s">
        <v>25</v>
      </c>
      <c r="G4" s="17" t="s">
        <v>26</v>
      </c>
      <c r="H4" s="17" t="s">
        <v>27</v>
      </c>
      <c r="I4" s="17" t="s">
        <v>25</v>
      </c>
      <c r="J4" s="17" t="s">
        <v>54</v>
      </c>
    </row>
    <row r="5" spans="4:10" ht="17.25" x14ac:dyDescent="0.25">
      <c r="D5" s="11" t="s">
        <v>28</v>
      </c>
      <c r="E5" s="11" t="s">
        <v>29</v>
      </c>
      <c r="F5" s="11">
        <v>25</v>
      </c>
      <c r="G5" s="11" t="s">
        <v>30</v>
      </c>
      <c r="H5" s="11" t="s">
        <v>31</v>
      </c>
      <c r="I5" s="15" t="str">
        <f>IF(F5&lt;18,"Minor",IF(F5&lt;=60,"Adult","Senior"))</f>
        <v>Adult</v>
      </c>
      <c r="J5" s="15" t="str">
        <f>PROPER(E5)</f>
        <v>Rahul</v>
      </c>
    </row>
    <row r="6" spans="4:10" ht="17.25" x14ac:dyDescent="0.25">
      <c r="D6" s="13" t="s">
        <v>32</v>
      </c>
      <c r="E6" s="13" t="s">
        <v>33</v>
      </c>
      <c r="F6" s="13">
        <v>62</v>
      </c>
      <c r="G6" s="13" t="s">
        <v>34</v>
      </c>
      <c r="H6" s="13" t="s">
        <v>35</v>
      </c>
      <c r="I6" s="15" t="str">
        <f t="shared" ref="I6:I21" si="0">IF(F6&lt;18,"Minor",IF(F6&lt;=60,"Adult","Senior"))</f>
        <v>Senior</v>
      </c>
      <c r="J6" s="15" t="str">
        <f t="shared" ref="J6:J21" si="1">PROPER(E6)</f>
        <v>Sneha</v>
      </c>
    </row>
    <row r="7" spans="4:10" ht="17.25" x14ac:dyDescent="0.25">
      <c r="D7" s="11" t="s">
        <v>36</v>
      </c>
      <c r="E7" s="11" t="s">
        <v>15</v>
      </c>
      <c r="F7" s="11">
        <v>70</v>
      </c>
      <c r="G7" s="11" t="s">
        <v>30</v>
      </c>
      <c r="H7" s="11" t="s">
        <v>37</v>
      </c>
      <c r="I7" s="15" t="str">
        <f t="shared" si="0"/>
        <v>Senior</v>
      </c>
      <c r="J7" s="15" t="str">
        <f t="shared" si="1"/>
        <v>Ravi</v>
      </c>
    </row>
    <row r="8" spans="4:10" ht="17.25" x14ac:dyDescent="0.25">
      <c r="D8" s="13" t="s">
        <v>38</v>
      </c>
      <c r="E8" s="13" t="s">
        <v>39</v>
      </c>
      <c r="F8" s="13">
        <v>15</v>
      </c>
      <c r="G8" s="13" t="s">
        <v>34</v>
      </c>
      <c r="H8" s="13" t="s">
        <v>40</v>
      </c>
      <c r="I8" s="15" t="str">
        <f t="shared" si="0"/>
        <v>Minor</v>
      </c>
      <c r="J8" s="15" t="str">
        <f t="shared" si="1"/>
        <v>Meera</v>
      </c>
    </row>
    <row r="9" spans="4:10" ht="17.25" x14ac:dyDescent="0.25">
      <c r="D9" s="11" t="s">
        <v>41</v>
      </c>
      <c r="E9" s="11" t="s">
        <v>29</v>
      </c>
      <c r="F9" s="11">
        <v>37.5</v>
      </c>
      <c r="G9" s="11" t="s">
        <v>30</v>
      </c>
      <c r="H9" s="11" t="s">
        <v>31</v>
      </c>
      <c r="I9" s="15" t="str">
        <f t="shared" si="0"/>
        <v>Adult</v>
      </c>
      <c r="J9" s="15" t="str">
        <f t="shared" si="1"/>
        <v>Rahul</v>
      </c>
    </row>
    <row r="10" spans="4:10" ht="17.25" x14ac:dyDescent="0.25">
      <c r="D10" s="13" t="s">
        <v>42</v>
      </c>
      <c r="E10" s="13" t="s">
        <v>33</v>
      </c>
      <c r="F10" s="13">
        <v>35.299999999999997</v>
      </c>
      <c r="G10" s="13" t="s">
        <v>34</v>
      </c>
      <c r="H10" s="13" t="s">
        <v>35</v>
      </c>
      <c r="I10" s="15" t="str">
        <f t="shared" si="0"/>
        <v>Adult</v>
      </c>
      <c r="J10" s="15" t="str">
        <f t="shared" si="1"/>
        <v>Sneha</v>
      </c>
    </row>
    <row r="11" spans="4:10" ht="17.25" x14ac:dyDescent="0.25">
      <c r="D11" s="11" t="s">
        <v>43</v>
      </c>
      <c r="E11" s="11" t="s">
        <v>15</v>
      </c>
      <c r="F11" s="11">
        <v>33.1</v>
      </c>
      <c r="G11" s="11" t="s">
        <v>30</v>
      </c>
      <c r="H11" s="11" t="s">
        <v>37</v>
      </c>
      <c r="I11" s="15" t="str">
        <f t="shared" si="0"/>
        <v>Adult</v>
      </c>
      <c r="J11" s="15" t="str">
        <f t="shared" si="1"/>
        <v>Ravi</v>
      </c>
    </row>
    <row r="12" spans="4:10" ht="17.25" x14ac:dyDescent="0.25">
      <c r="D12" s="13" t="s">
        <v>44</v>
      </c>
      <c r="E12" s="13" t="s">
        <v>39</v>
      </c>
      <c r="F12" s="13">
        <v>30.9</v>
      </c>
      <c r="G12" s="13" t="s">
        <v>34</v>
      </c>
      <c r="H12" s="13" t="s">
        <v>40</v>
      </c>
      <c r="I12" s="15" t="str">
        <f t="shared" si="0"/>
        <v>Adult</v>
      </c>
      <c r="J12" s="15" t="str">
        <f t="shared" si="1"/>
        <v>Meera</v>
      </c>
    </row>
    <row r="13" spans="4:10" ht="17.25" x14ac:dyDescent="0.25">
      <c r="D13" s="11" t="s">
        <v>45</v>
      </c>
      <c r="E13" s="11" t="s">
        <v>29</v>
      </c>
      <c r="F13" s="11">
        <v>28.7</v>
      </c>
      <c r="G13" s="11" t="s">
        <v>30</v>
      </c>
      <c r="H13" s="11" t="s">
        <v>31</v>
      </c>
      <c r="I13" s="15" t="str">
        <f t="shared" si="0"/>
        <v>Adult</v>
      </c>
      <c r="J13" s="15" t="str">
        <f t="shared" si="1"/>
        <v>Rahul</v>
      </c>
    </row>
    <row r="14" spans="4:10" ht="17.25" x14ac:dyDescent="0.25">
      <c r="D14" s="13" t="s">
        <v>46</v>
      </c>
      <c r="E14" s="13" t="s">
        <v>33</v>
      </c>
      <c r="F14" s="13">
        <v>26.5</v>
      </c>
      <c r="G14" s="13" t="s">
        <v>34</v>
      </c>
      <c r="H14" s="13" t="s">
        <v>35</v>
      </c>
      <c r="I14" s="15" t="str">
        <f t="shared" si="0"/>
        <v>Adult</v>
      </c>
      <c r="J14" s="15" t="str">
        <f t="shared" si="1"/>
        <v>Sneha</v>
      </c>
    </row>
    <row r="15" spans="4:10" ht="17.25" x14ac:dyDescent="0.25">
      <c r="D15" s="11" t="s">
        <v>47</v>
      </c>
      <c r="E15" s="11" t="s">
        <v>15</v>
      </c>
      <c r="F15" s="11">
        <v>24.3</v>
      </c>
      <c r="G15" s="11" t="s">
        <v>30</v>
      </c>
      <c r="H15" s="11" t="s">
        <v>37</v>
      </c>
      <c r="I15" s="15" t="str">
        <f t="shared" si="0"/>
        <v>Adult</v>
      </c>
      <c r="J15" s="15" t="str">
        <f t="shared" si="1"/>
        <v>Ravi</v>
      </c>
    </row>
    <row r="16" spans="4:10" ht="17.25" x14ac:dyDescent="0.25">
      <c r="D16" s="13" t="s">
        <v>48</v>
      </c>
      <c r="E16" s="13" t="s">
        <v>39</v>
      </c>
      <c r="F16" s="13">
        <v>22.1</v>
      </c>
      <c r="G16" s="13" t="s">
        <v>34</v>
      </c>
      <c r="H16" s="13" t="s">
        <v>40</v>
      </c>
      <c r="I16" s="15" t="str">
        <f t="shared" si="0"/>
        <v>Adult</v>
      </c>
      <c r="J16" s="15" t="str">
        <f t="shared" si="1"/>
        <v>Meera</v>
      </c>
    </row>
    <row r="17" spans="4:10" ht="17.25" x14ac:dyDescent="0.25">
      <c r="D17" s="11" t="s">
        <v>49</v>
      </c>
      <c r="E17" s="11" t="s">
        <v>29</v>
      </c>
      <c r="F17" s="11">
        <v>19.899999999999999</v>
      </c>
      <c r="G17" s="11" t="s">
        <v>30</v>
      </c>
      <c r="H17" s="11" t="s">
        <v>31</v>
      </c>
      <c r="I17" s="15" t="str">
        <f t="shared" si="0"/>
        <v>Adult</v>
      </c>
      <c r="J17" s="15" t="str">
        <f t="shared" si="1"/>
        <v>Rahul</v>
      </c>
    </row>
    <row r="18" spans="4:10" ht="17.25" x14ac:dyDescent="0.25">
      <c r="D18" s="13" t="s">
        <v>50</v>
      </c>
      <c r="E18" s="13" t="s">
        <v>33</v>
      </c>
      <c r="F18" s="13">
        <v>17.7</v>
      </c>
      <c r="G18" s="13" t="s">
        <v>34</v>
      </c>
      <c r="H18" s="13" t="s">
        <v>35</v>
      </c>
      <c r="I18" s="15" t="str">
        <f t="shared" si="0"/>
        <v>Minor</v>
      </c>
      <c r="J18" s="15" t="str">
        <f t="shared" si="1"/>
        <v>Sneha</v>
      </c>
    </row>
    <row r="19" spans="4:10" ht="17.25" x14ac:dyDescent="0.25">
      <c r="D19" s="11" t="s">
        <v>51</v>
      </c>
      <c r="E19" s="11" t="s">
        <v>15</v>
      </c>
      <c r="F19" s="11">
        <v>15.5</v>
      </c>
      <c r="G19" s="11" t="s">
        <v>30</v>
      </c>
      <c r="H19" s="11" t="s">
        <v>37</v>
      </c>
      <c r="I19" s="15" t="str">
        <f t="shared" si="0"/>
        <v>Minor</v>
      </c>
      <c r="J19" s="15" t="str">
        <f t="shared" si="1"/>
        <v>Ravi</v>
      </c>
    </row>
    <row r="20" spans="4:10" ht="17.25" x14ac:dyDescent="0.25">
      <c r="D20" s="13" t="s">
        <v>52</v>
      </c>
      <c r="E20" s="13" t="s">
        <v>39</v>
      </c>
      <c r="F20" s="13">
        <v>13.3</v>
      </c>
      <c r="G20" s="13" t="s">
        <v>34</v>
      </c>
      <c r="H20" s="13" t="s">
        <v>40</v>
      </c>
      <c r="I20" s="15" t="str">
        <f t="shared" si="0"/>
        <v>Minor</v>
      </c>
      <c r="J20" s="15" t="str">
        <f t="shared" si="1"/>
        <v>Meera</v>
      </c>
    </row>
    <row r="21" spans="4:10" ht="17.25" x14ac:dyDescent="0.25">
      <c r="D21" s="11" t="s">
        <v>53</v>
      </c>
      <c r="E21" s="11" t="s">
        <v>29</v>
      </c>
      <c r="F21" s="11">
        <v>11.1</v>
      </c>
      <c r="G21" s="11" t="s">
        <v>30</v>
      </c>
      <c r="H21" s="11" t="s">
        <v>31</v>
      </c>
      <c r="I21" s="15" t="str">
        <f t="shared" si="0"/>
        <v>Minor</v>
      </c>
      <c r="J21" s="15" t="str">
        <f t="shared" si="1"/>
        <v>Rahul</v>
      </c>
    </row>
  </sheetData>
  <phoneticPr fontId="5" type="noConversion"/>
  <conditionalFormatting sqref="F5:F21">
    <cfRule type="cellIs" dxfId="7" priority="3" operator="greaterThan">
      <formula>60</formula>
    </cfRule>
    <cfRule type="cellIs" dxfId="8" priority="2" operator="lessThan">
      <formula>15</formula>
    </cfRule>
    <cfRule type="cellIs" dxfId="9" priority="1" operator="lessThan">
      <formula>18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A453-10DD-4371-AC78-750C0339D5E6}">
  <dimension ref="E3:J9"/>
  <sheetViews>
    <sheetView workbookViewId="0">
      <selection activeCell="J12" sqref="J12"/>
    </sheetView>
  </sheetViews>
  <sheetFormatPr defaultRowHeight="15" x14ac:dyDescent="0.25"/>
  <cols>
    <col min="5" max="5" width="12.140625" bestFit="1" customWidth="1"/>
    <col min="6" max="6" width="15.85546875" bestFit="1" customWidth="1"/>
    <col min="7" max="7" width="7.28515625" bestFit="1" customWidth="1"/>
    <col min="8" max="8" width="14.28515625" bestFit="1" customWidth="1"/>
    <col min="9" max="9" width="11.140625" bestFit="1" customWidth="1"/>
    <col min="10" max="10" width="13.7109375" bestFit="1" customWidth="1"/>
  </cols>
  <sheetData>
    <row r="3" spans="5:10" ht="15.75" thickBot="1" x14ac:dyDescent="0.3"/>
    <row r="4" spans="5:10" ht="18" thickBot="1" x14ac:dyDescent="0.3">
      <c r="E4" s="16" t="s">
        <v>1</v>
      </c>
      <c r="F4" s="16" t="s">
        <v>55</v>
      </c>
      <c r="G4" s="18" t="s">
        <v>56</v>
      </c>
      <c r="H4" s="18" t="s">
        <v>57</v>
      </c>
      <c r="I4" s="18" t="s">
        <v>62</v>
      </c>
      <c r="J4" s="18" t="s">
        <v>67</v>
      </c>
    </row>
    <row r="5" spans="5:10" ht="18" thickBot="1" x14ac:dyDescent="0.3">
      <c r="E5" s="1" t="s">
        <v>7</v>
      </c>
      <c r="F5" s="1" t="s">
        <v>58</v>
      </c>
      <c r="G5" s="2">
        <v>2</v>
      </c>
      <c r="H5" s="19">
        <v>350</v>
      </c>
      <c r="I5" t="str">
        <f>IF(H5&gt;=1000,"Available","Not")</f>
        <v>Not</v>
      </c>
      <c r="J5" t="s">
        <v>63</v>
      </c>
    </row>
    <row r="6" spans="5:10" ht="18" thickBot="1" x14ac:dyDescent="0.3">
      <c r="E6" s="3" t="s">
        <v>15</v>
      </c>
      <c r="F6" s="3" t="s">
        <v>59</v>
      </c>
      <c r="G6" s="4">
        <v>5</v>
      </c>
      <c r="H6" s="20">
        <v>280</v>
      </c>
      <c r="I6" t="str">
        <f t="shared" ref="I6:I8" si="0">IF(H6&gt;=1000,"Available","Not")</f>
        <v>Not</v>
      </c>
      <c r="J6" t="s">
        <v>64</v>
      </c>
    </row>
    <row r="7" spans="5:10" ht="18" thickBot="1" x14ac:dyDescent="0.3">
      <c r="E7" s="1" t="s">
        <v>11</v>
      </c>
      <c r="F7" s="1" t="s">
        <v>60</v>
      </c>
      <c r="G7" s="2">
        <v>3</v>
      </c>
      <c r="H7" s="19">
        <v>400</v>
      </c>
      <c r="I7" t="str">
        <f t="shared" si="0"/>
        <v>Not</v>
      </c>
      <c r="J7" t="s">
        <v>65</v>
      </c>
    </row>
    <row r="8" spans="5:10" ht="18" thickBot="1" x14ac:dyDescent="0.3">
      <c r="E8" s="3" t="s">
        <v>18</v>
      </c>
      <c r="F8" s="3" t="s">
        <v>61</v>
      </c>
      <c r="G8" s="4">
        <v>1</v>
      </c>
      <c r="H8" s="20">
        <v>1500</v>
      </c>
      <c r="I8" t="str">
        <f t="shared" si="0"/>
        <v>Available</v>
      </c>
      <c r="J8" t="s">
        <v>66</v>
      </c>
    </row>
    <row r="9" spans="5:10" x14ac:dyDescent="0.25">
      <c r="E9" s="21" t="s">
        <v>21</v>
      </c>
      <c r="F9" s="21"/>
      <c r="H9" s="22">
        <f>SUM(H5:H8)</f>
        <v>2530</v>
      </c>
    </row>
  </sheetData>
  <mergeCells count="1">
    <mergeCell ref="E9:F9"/>
  </mergeCells>
  <phoneticPr fontId="5" type="noConversion"/>
  <conditionalFormatting sqref="H5:H8">
    <cfRule type="cellIs" dxfId="6" priority="1" operator="lessThan">
      <formula>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3F72-41C6-4470-B90B-86A32E20A5AC}">
  <dimension ref="E4:N16"/>
  <sheetViews>
    <sheetView tabSelected="1" topLeftCell="H1" workbookViewId="0">
      <selection activeCell="O10" sqref="O10"/>
    </sheetView>
  </sheetViews>
  <sheetFormatPr defaultRowHeight="15" x14ac:dyDescent="0.25"/>
  <cols>
    <col min="5" max="5" width="10" bestFit="1" customWidth="1"/>
    <col min="6" max="6" width="23.140625" bestFit="1" customWidth="1"/>
    <col min="7" max="7" width="12.85546875" bestFit="1" customWidth="1"/>
    <col min="8" max="8" width="14.85546875" bestFit="1" customWidth="1"/>
    <col min="10" max="10" width="10" bestFit="1" customWidth="1"/>
    <col min="11" max="11" width="23.140625" bestFit="1" customWidth="1"/>
    <col min="12" max="12" width="12.85546875" bestFit="1" customWidth="1"/>
    <col min="13" max="13" width="14.85546875" bestFit="1" customWidth="1"/>
  </cols>
  <sheetData>
    <row r="4" spans="5:14" ht="15.75" thickBot="1" x14ac:dyDescent="0.3"/>
    <row r="5" spans="5:14" ht="18" thickBot="1" x14ac:dyDescent="0.3">
      <c r="E5" s="25"/>
      <c r="F5" s="25"/>
      <c r="G5" s="25"/>
      <c r="H5" s="25"/>
      <c r="J5" s="16" t="s">
        <v>68</v>
      </c>
      <c r="K5" s="16" t="s">
        <v>69</v>
      </c>
      <c r="L5" s="16" t="s">
        <v>70</v>
      </c>
      <c r="M5" s="16" t="s">
        <v>71</v>
      </c>
    </row>
    <row r="6" spans="5:14" ht="18" thickBot="1" x14ac:dyDescent="0.3">
      <c r="E6" s="26"/>
      <c r="F6" s="26"/>
      <c r="G6" s="27"/>
      <c r="H6" s="27"/>
      <c r="J6" s="1" t="s">
        <v>72</v>
      </c>
      <c r="K6" s="1" t="s">
        <v>73</v>
      </c>
      <c r="L6" s="23">
        <v>46204</v>
      </c>
      <c r="M6" s="23">
        <v>46211</v>
      </c>
      <c r="N6">
        <f>M6-L6</f>
        <v>7</v>
      </c>
    </row>
    <row r="7" spans="5:14" ht="18" thickBot="1" x14ac:dyDescent="0.3">
      <c r="E7" s="26"/>
      <c r="F7" s="26"/>
      <c r="G7" s="27"/>
      <c r="H7" s="27"/>
      <c r="J7" s="3" t="s">
        <v>74</v>
      </c>
      <c r="K7" s="3" t="s">
        <v>75</v>
      </c>
      <c r="L7" s="24">
        <v>46205</v>
      </c>
      <c r="M7" s="24">
        <v>46221</v>
      </c>
      <c r="N7">
        <f t="shared" ref="N7:N8" si="0">M7-L7</f>
        <v>16</v>
      </c>
    </row>
    <row r="8" spans="5:14" ht="18" thickBot="1" x14ac:dyDescent="0.3">
      <c r="E8" s="26"/>
      <c r="F8" s="26"/>
      <c r="G8" s="27"/>
      <c r="H8" s="27"/>
      <c r="J8" s="1" t="s">
        <v>76</v>
      </c>
      <c r="K8" s="1" t="s">
        <v>77</v>
      </c>
      <c r="L8" s="23">
        <v>46208</v>
      </c>
      <c r="M8" s="23">
        <v>46215</v>
      </c>
      <c r="N8">
        <f t="shared" si="0"/>
        <v>7</v>
      </c>
    </row>
    <row r="9" spans="5:14" ht="18" thickBot="1" x14ac:dyDescent="0.3">
      <c r="E9" s="26"/>
      <c r="F9" s="26"/>
      <c r="G9" s="27"/>
      <c r="H9" s="27"/>
    </row>
    <row r="10" spans="5:14" ht="18" thickBot="1" x14ac:dyDescent="0.3">
      <c r="E10" s="26"/>
      <c r="F10" s="26"/>
      <c r="G10" s="27"/>
      <c r="H10" s="27"/>
    </row>
    <row r="11" spans="5:14" ht="18" thickBot="1" x14ac:dyDescent="0.3">
      <c r="E11" s="26"/>
      <c r="F11" s="26"/>
      <c r="G11" s="27"/>
      <c r="H11" s="27"/>
    </row>
    <row r="12" spans="5:14" ht="18" thickBot="1" x14ac:dyDescent="0.3">
      <c r="E12" s="26"/>
      <c r="F12" s="26"/>
      <c r="G12" s="27"/>
      <c r="H12" s="27"/>
    </row>
    <row r="13" spans="5:14" ht="18" thickBot="1" x14ac:dyDescent="0.3">
      <c r="E13" s="26"/>
      <c r="F13" s="26"/>
      <c r="G13" s="27"/>
      <c r="H13" s="27"/>
    </row>
    <row r="14" spans="5:14" ht="18" thickBot="1" x14ac:dyDescent="0.3">
      <c r="E14" s="26"/>
      <c r="F14" s="26"/>
      <c r="G14" s="27"/>
      <c r="H14" s="27"/>
    </row>
    <row r="15" spans="5:14" ht="18" thickBot="1" x14ac:dyDescent="0.3">
      <c r="E15" s="26"/>
      <c r="F15" s="26"/>
      <c r="G15" s="27"/>
      <c r="H15" s="27"/>
    </row>
    <row r="16" spans="5:14" ht="18" thickBot="1" x14ac:dyDescent="0.3">
      <c r="E16" s="26"/>
      <c r="F16" s="26"/>
      <c r="G16" s="27"/>
      <c r="H16" s="27"/>
    </row>
  </sheetData>
  <phoneticPr fontId="5" type="noConversion"/>
  <conditionalFormatting sqref="N6:N8">
    <cfRule type="cellIs" dxfId="4" priority="4" operator="greaterThan">
      <formula>7</formula>
    </cfRule>
  </conditionalFormatting>
  <conditionalFormatting sqref="K6:K8">
    <cfRule type="cellIs" dxfId="0" priority="3" operator="equal">
      <formula>"&lt;7"</formula>
    </cfRule>
    <cfRule type="cellIs" dxfId="1" priority="2" operator="between">
      <formula>7</formula>
      <formula>999</formula>
    </cfRule>
  </conditionalFormatting>
  <conditionalFormatting sqref="J6:N8">
    <cfRule type="expression" priority="1">
      <formula>($L$6:$M$8)&gt;7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ASDC47</dc:creator>
  <cp:lastModifiedBy>ASDC47</cp:lastModifiedBy>
  <dcterms:created xsi:type="dcterms:W3CDTF">2026-07-05T09:08:09Z</dcterms:created>
  <dcterms:modified xsi:type="dcterms:W3CDTF">2026-07-05T10:00:28Z</dcterms:modified>
</cp:coreProperties>
</file>