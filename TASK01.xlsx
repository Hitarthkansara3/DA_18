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8\Desktop\"/>
    </mc:Choice>
  </mc:AlternateContent>
  <xr:revisionPtr revIDLastSave="0" documentId="8_{E4A1803E-F8C9-4377-80BD-DC55F320F534}" xr6:coauthVersionLast="47" xr6:coauthVersionMax="47" xr10:uidLastSave="{00000000-0000-0000-0000-000000000000}"/>
  <bookViews>
    <workbookView xWindow="-120" yWindow="-120" windowWidth="29040" windowHeight="15720" activeTab="4" xr2:uid="{1A7EA571-983A-4C52-A337-F0E69F2F80C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6" i="5" l="1"/>
  <c r="Q15" i="5"/>
  <c r="Q21" i="4"/>
  <c r="Q19" i="4"/>
  <c r="Q17" i="4"/>
  <c r="I32" i="4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11" i="3"/>
</calcChain>
</file>

<file path=xl/sharedStrings.xml><?xml version="1.0" encoding="utf-8"?>
<sst xmlns="http://schemas.openxmlformats.org/spreadsheetml/2006/main" count="259" uniqueCount="106">
  <si>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</si>
  <si>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</si>
  <si>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</si>
  <si>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</si>
  <si>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</si>
  <si>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</si>
  <si>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</si>
  <si>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</si>
  <si>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</si>
  <si>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</si>
  <si>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</si>
  <si>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</si>
  <si>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</si>
  <si>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</si>
  <si>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</si>
  <si>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</si>
  <si>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</si>
  <si>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</si>
  <si>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</si>
  <si>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</si>
  <si>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Rakhi Savant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</si>
  <si>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</si>
  <si>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</si>
  <si>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</si>
  <si>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</si>
  <si>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</si>
  <si>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</si>
  <si>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</si>
  <si>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</si>
  <si>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</si>
  <si>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</si>
  <si>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</si>
  <si>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</si>
  <si>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</si>
  <si>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</si>
  <si>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Task 1: Employee Sheet – Basic Formatting</t>
  </si>
  <si>
    <t>Task 2: Sales Report – Beautification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</si>
  <si>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</si>
  <si>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</si>
  <si>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</si>
  <si>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</si>
  <si>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</si>
  <si>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</si>
  <si>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</si>
  <si>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</si>
  <si>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</si>
  <si>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</si>
  <si>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</si>
  <si>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</si>
  <si>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</si>
  <si>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</si>
  <si>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</si>
  <si>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</si>
  <si>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</si>
  <si>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</si>
  <si>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</si>
  <si>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</si>
  <si>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Task 3: Student Marks Sheet – Formatting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</si>
  <si>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</si>
  <si>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</si>
  <si>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</si>
  <si>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</si>
  <si>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</si>
  <si>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</si>
  <si>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</si>
  <si>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</si>
  <si>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</si>
  <si>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</si>
  <si>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</si>
  <si>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 4: Sales Summary – Aggregation Functions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</si>
  <si>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</si>
  <si>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</si>
  <si>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</si>
  <si>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</si>
  <si>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</si>
  <si>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</si>
  <si>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</si>
  <si>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</si>
  <si>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</si>
  <si>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</si>
  <si>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</si>
  <si>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</si>
  <si>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</si>
  <si>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</si>
  <si>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</si>
  <si>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</si>
  <si>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</si>
  <si>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</si>
  <si>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</si>
  <si>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</si>
  <si>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</si>
  <si>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</si>
  <si>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HIGHEST</t>
  </si>
  <si>
    <t>LOWEST</t>
  </si>
  <si>
    <t>AVERAGE</t>
  </si>
  <si>
    <t>Task 5: Department-wise Salary Analysis
Dataset</t>
  </si>
  <si>
    <t>Employee Name</t>
  </si>
  <si>
    <t>Suresh</t>
  </si>
  <si>
    <t>Meena</t>
  </si>
  <si>
    <t>Karan</t>
  </si>
  <si>
    <t>Ritu</t>
  </si>
  <si>
    <t>Aman</t>
  </si>
  <si>
    <t>Neel</t>
  </si>
  <si>
    <t xml:space="preserve">AVERAGE SALARY </t>
  </si>
  <si>
    <t>TOTAL EMP</t>
  </si>
  <si>
    <t xml:space="preserve"> Department wise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</si>
</sst>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&quot;₹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26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1" applyNumberFormat="0" applyFill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65" fontId="6" fillId="4" borderId="2" xfId="0" applyNumberFormat="1" applyFont="1" applyFill="1" applyBorder="1" applyAlignment="1">
      <alignment horizontal="center"/>
    </xf>
    <xf numFmtId="165" fontId="6" fillId="5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9" fontId="6" fillId="4" borderId="2" xfId="2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2" borderId="2" xfId="3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/>
    </xf>
    <xf numFmtId="165" fontId="6" fillId="4" borderId="2" xfId="1" applyNumberFormat="1" applyFont="1" applyFill="1" applyBorder="1" applyAlignment="1">
      <alignment horizontal="center" vertical="center"/>
    </xf>
    <xf numFmtId="165" fontId="6" fillId="5" borderId="2" xfId="1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0" borderId="1" xfId="4" applyAlignment="1">
      <alignment horizontal="center"/>
    </xf>
    <xf numFmtId="165" fontId="3" fillId="0" borderId="1" xfId="4" applyNumberFormat="1" applyAlignment="1">
      <alignment horizontal="center"/>
    </xf>
    <xf numFmtId="0" fontId="3" fillId="0" borderId="1" xfId="4"/>
    <xf numFmtId="0" fontId="8" fillId="7" borderId="0" xfId="0" applyFont="1" applyFill="1" applyAlignment="1">
      <alignment horizontal="center" wrapText="1"/>
    </xf>
    <xf numFmtId="165" fontId="6" fillId="4" borderId="2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0" fontId="2" fillId="2" borderId="1" xfId="3" applyBorder="1" applyAlignment="1">
      <alignment horizontal="center"/>
    </xf>
    <xf numFmtId="165" fontId="2" fillId="2" borderId="1" xfId="3" applyNumberFormat="1" applyBorder="1" applyAlignment="1">
      <alignment horizontal="center"/>
    </xf>
    <xf numFmtId="0" fontId="10" fillId="0" borderId="0" xfId="0" applyFont="1" applyAlignment="1">
      <alignment horizontal="center"/>
    </xf>
  </cellXfs>
  <cellStyles count="5">
    <cellStyle name="Currency" xfId="1" builtinId="4"/>
    <cellStyle name="Good" xfId="3" builtinId="26"/>
    <cellStyle name="Linked Cell" xfId="4" builtinId="24"/>
    <cellStyle name="Normal" xfId="0" builtinId="0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65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FC3EE-519C-4334-931F-1957C1F1FB0B}" name="Table1" displayName="Table1" ref="F9:J29" totalsRowShown="0" headerRowDxfId="2" dataDxfId="1">
  <autoFilter ref="F9:J29" xr:uid="{9B6FC3EE-519C-4334-931F-1957C1F1FB0B}"/>
  <tableColumns count="5">
    <tableColumn id="1" xr3:uid="{4C00615B-E1A6-4DD7-B8C4-A5528BDF4847}" name="Employee ID" dataDxfId="7"/>
    <tableColumn id="2" xr3:uid="{DE1F8BA8-7426-4411-9384-17151DB62BA8}" name="Name" dataDxfId="6"/>
    <tableColumn id="3" xr3:uid="{2B0EB720-D593-4E33-BB78-983A556E0F61}" name="Department" dataDxfId="5"/>
    <tableColumn id="4" xr3:uid="{A33F9BD3-D421-4F3C-9BFB-DEBF1A39FEB7}" name="Salary" dataDxfId="4"/>
    <tableColumn id="5" xr3:uid="{061DFA31-2374-4A7A-BD9D-6D6F89624A99}" name="Joining Date" dataDxfId="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8466-EF44-4638-9535-3093C4BEEEE8}">
  <dimension ref="F2:Q29"/>
  <sheetViews>
    <sheetView workbookViewId="0">
      <selection activeCell="L9" sqref="L9"/>
    </sheetView>
  </sheetViews>
  <sheetFormatPr defaultRowHeight="15" x14ac:dyDescent="0.25"/>
  <cols>
    <col min="6" max="6" width="14.42578125" customWidth="1"/>
    <col min="7" max="7" width="13.85546875" customWidth="1"/>
    <col min="8" max="8" width="14.7109375" customWidth="1"/>
    <col min="9" max="9" width="13" customWidth="1"/>
    <col min="10" max="10" width="15.42578125" customWidth="1"/>
  </cols>
  <sheetData>
    <row r="2" spans="6:17" x14ac:dyDescent="0.25">
      <c r="F2" s="6" t="s">
        <v>35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6:17" x14ac:dyDescent="0.25"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6:17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9" spans="6:17" x14ac:dyDescent="0.25">
      <c r="F9" s="3" t="s">
        <v>0</v>
      </c>
      <c r="G9" s="3" t="s">
        <v>1</v>
      </c>
      <c r="H9" s="3" t="s">
        <v>2</v>
      </c>
      <c r="I9" s="3" t="s">
        <v>3</v>
      </c>
      <c r="J9" s="3" t="s">
        <v>4</v>
      </c>
    </row>
    <row r="10" spans="6:17" x14ac:dyDescent="0.25">
      <c r="F10" s="3" t="s">
        <v>5</v>
      </c>
      <c r="G10" s="3" t="s">
        <v>6</v>
      </c>
      <c r="H10" s="3" t="s">
        <v>7</v>
      </c>
      <c r="I10" s="4">
        <v>32000</v>
      </c>
      <c r="J10" s="5">
        <v>44573</v>
      </c>
    </row>
    <row r="11" spans="6:17" x14ac:dyDescent="0.25">
      <c r="F11" s="3" t="s">
        <v>8</v>
      </c>
      <c r="G11" s="3" t="s">
        <v>9</v>
      </c>
      <c r="H11" s="3" t="s">
        <v>10</v>
      </c>
      <c r="I11" s="4">
        <v>45000</v>
      </c>
      <c r="J11" s="5">
        <v>44260</v>
      </c>
    </row>
    <row r="12" spans="6:17" x14ac:dyDescent="0.25">
      <c r="F12" s="3" t="s">
        <v>11</v>
      </c>
      <c r="G12" s="3" t="s">
        <v>12</v>
      </c>
      <c r="H12" s="3" t="s">
        <v>13</v>
      </c>
      <c r="I12" s="4">
        <v>38000</v>
      </c>
      <c r="J12" s="5">
        <v>44030</v>
      </c>
    </row>
    <row r="13" spans="6:17" x14ac:dyDescent="0.25">
      <c r="F13" s="3" t="s">
        <v>14</v>
      </c>
      <c r="G13" s="3" t="s">
        <v>15</v>
      </c>
      <c r="H13" s="3" t="s">
        <v>10</v>
      </c>
      <c r="I13" s="4">
        <v>52000</v>
      </c>
      <c r="J13" s="5">
        <v>43779</v>
      </c>
    </row>
    <row r="14" spans="6:17" x14ac:dyDescent="0.25">
      <c r="F14" s="3" t="s">
        <v>16</v>
      </c>
      <c r="G14" s="3" t="s">
        <v>17</v>
      </c>
      <c r="H14" s="3" t="s">
        <v>18</v>
      </c>
      <c r="I14" s="4">
        <v>30000</v>
      </c>
      <c r="J14" s="5">
        <v>45102</v>
      </c>
    </row>
    <row r="15" spans="6:17" x14ac:dyDescent="0.25">
      <c r="F15" s="3" t="s">
        <v>19</v>
      </c>
      <c r="G15" s="3" t="s">
        <v>20</v>
      </c>
      <c r="H15" s="3" t="s">
        <v>10</v>
      </c>
      <c r="I15" s="4">
        <v>40829</v>
      </c>
      <c r="J15" s="5">
        <v>44573</v>
      </c>
    </row>
    <row r="16" spans="6:17" x14ac:dyDescent="0.25">
      <c r="F16" s="3" t="s">
        <v>21</v>
      </c>
      <c r="G16" s="3" t="s">
        <v>12</v>
      </c>
      <c r="H16" s="3" t="s">
        <v>18</v>
      </c>
      <c r="I16" s="4">
        <v>24811</v>
      </c>
      <c r="J16" s="5">
        <v>44260</v>
      </c>
    </row>
    <row r="17" spans="6:10" x14ac:dyDescent="0.25">
      <c r="F17" s="3" t="s">
        <v>22</v>
      </c>
      <c r="G17" s="3" t="s">
        <v>17</v>
      </c>
      <c r="H17" s="3" t="s">
        <v>13</v>
      </c>
      <c r="I17" s="4">
        <v>48890</v>
      </c>
      <c r="J17" s="5">
        <v>44030</v>
      </c>
    </row>
    <row r="18" spans="6:10" x14ac:dyDescent="0.25">
      <c r="F18" s="3" t="s">
        <v>23</v>
      </c>
      <c r="G18" s="3" t="s">
        <v>12</v>
      </c>
      <c r="H18" s="3" t="s">
        <v>10</v>
      </c>
      <c r="I18" s="4">
        <v>38786</v>
      </c>
      <c r="J18" s="5">
        <v>43779</v>
      </c>
    </row>
    <row r="19" spans="6:10" x14ac:dyDescent="0.25">
      <c r="F19" s="3" t="s">
        <v>24</v>
      </c>
      <c r="G19" s="3" t="s">
        <v>9</v>
      </c>
      <c r="H19" s="3" t="s">
        <v>18</v>
      </c>
      <c r="I19" s="4">
        <v>31187</v>
      </c>
      <c r="J19" s="5">
        <v>45102</v>
      </c>
    </row>
    <row r="20" spans="6:10" x14ac:dyDescent="0.25">
      <c r="F20" s="3" t="s">
        <v>25</v>
      </c>
      <c r="G20" s="3" t="s">
        <v>17</v>
      </c>
      <c r="H20" s="3" t="s">
        <v>10</v>
      </c>
      <c r="I20" s="4">
        <v>36813</v>
      </c>
      <c r="J20" s="5">
        <v>44573</v>
      </c>
    </row>
    <row r="21" spans="6:10" x14ac:dyDescent="0.25">
      <c r="F21" s="3" t="s">
        <v>26</v>
      </c>
      <c r="G21" s="3" t="s">
        <v>17</v>
      </c>
      <c r="H21" s="3" t="s">
        <v>13</v>
      </c>
      <c r="I21" s="4">
        <v>29612</v>
      </c>
      <c r="J21" s="5">
        <v>44260</v>
      </c>
    </row>
    <row r="22" spans="6:10" x14ac:dyDescent="0.25">
      <c r="F22" s="3" t="s">
        <v>27</v>
      </c>
      <c r="G22" s="3" t="s">
        <v>6</v>
      </c>
      <c r="H22" s="3" t="s">
        <v>10</v>
      </c>
      <c r="I22" s="4">
        <v>43512</v>
      </c>
      <c r="J22" s="5">
        <v>44030</v>
      </c>
    </row>
    <row r="23" spans="6:10" x14ac:dyDescent="0.25">
      <c r="F23" s="3" t="s">
        <v>28</v>
      </c>
      <c r="G23" s="3" t="s">
        <v>15</v>
      </c>
      <c r="H23" s="3" t="s">
        <v>10</v>
      </c>
      <c r="I23" s="4">
        <v>36196</v>
      </c>
      <c r="J23" s="5">
        <v>43779</v>
      </c>
    </row>
    <row r="24" spans="6:10" x14ac:dyDescent="0.25">
      <c r="F24" s="3" t="s">
        <v>29</v>
      </c>
      <c r="G24" s="3" t="s">
        <v>20</v>
      </c>
      <c r="H24" s="3" t="s">
        <v>18</v>
      </c>
      <c r="I24" s="4">
        <v>35030</v>
      </c>
      <c r="J24" s="5">
        <v>45102</v>
      </c>
    </row>
    <row r="25" spans="6:10" x14ac:dyDescent="0.25">
      <c r="F25" s="3" t="s">
        <v>30</v>
      </c>
      <c r="G25" s="3" t="s">
        <v>15</v>
      </c>
      <c r="H25" s="3" t="s">
        <v>10</v>
      </c>
      <c r="I25" s="4">
        <v>36152</v>
      </c>
      <c r="J25" s="5">
        <v>44573</v>
      </c>
    </row>
    <row r="26" spans="6:10" x14ac:dyDescent="0.25">
      <c r="F26" s="3" t="s">
        <v>31</v>
      </c>
      <c r="G26" s="3" t="s">
        <v>17</v>
      </c>
      <c r="H26" s="3" t="s">
        <v>18</v>
      </c>
      <c r="I26" s="4">
        <v>42300</v>
      </c>
      <c r="J26" s="5">
        <v>44260</v>
      </c>
    </row>
    <row r="27" spans="6:10" x14ac:dyDescent="0.25">
      <c r="F27" s="3" t="s">
        <v>32</v>
      </c>
      <c r="G27" s="3" t="s">
        <v>15</v>
      </c>
      <c r="H27" s="3" t="s">
        <v>10</v>
      </c>
      <c r="I27" s="4">
        <v>29628</v>
      </c>
      <c r="J27" s="5">
        <v>44030</v>
      </c>
    </row>
    <row r="28" spans="6:10" x14ac:dyDescent="0.25">
      <c r="F28" s="3" t="s">
        <v>33</v>
      </c>
      <c r="G28" s="3" t="s">
        <v>17</v>
      </c>
      <c r="H28" s="3" t="s">
        <v>13</v>
      </c>
      <c r="I28" s="4">
        <v>32590</v>
      </c>
      <c r="J28" s="5">
        <v>43779</v>
      </c>
    </row>
    <row r="29" spans="6:10" x14ac:dyDescent="0.25">
      <c r="F29" s="3" t="s">
        <v>34</v>
      </c>
      <c r="G29" s="3" t="s">
        <v>12</v>
      </c>
      <c r="H29" s="3" t="s">
        <v>18</v>
      </c>
      <c r="I29" s="4">
        <v>45647</v>
      </c>
      <c r="J29" s="5">
        <v>45102</v>
      </c>
    </row>
  </sheetData>
  <mergeCells count="1">
    <mergeCell ref="F2:Q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1CEC-46F1-4B18-8CA4-C644ABC70D38}">
  <dimension ref="H2:Q27"/>
  <sheetViews>
    <sheetView topLeftCell="A4" workbookViewId="0">
      <selection activeCell="H31" sqref="H31"/>
    </sheetView>
  </sheetViews>
  <sheetFormatPr defaultRowHeight="15" x14ac:dyDescent="0.25"/>
  <cols>
    <col min="8" max="8" width="34" customWidth="1"/>
    <col min="9" max="9" width="17.85546875" customWidth="1"/>
    <col min="10" max="10" width="18.28515625" customWidth="1"/>
    <col min="11" max="11" width="16.28515625" customWidth="1"/>
  </cols>
  <sheetData>
    <row r="2" spans="8:17" x14ac:dyDescent="0.25">
      <c r="H2" s="6" t="s">
        <v>36</v>
      </c>
      <c r="I2" s="7"/>
      <c r="J2" s="7"/>
      <c r="K2" s="7"/>
      <c r="L2" s="7"/>
      <c r="M2" s="7"/>
      <c r="N2" s="7"/>
      <c r="O2" s="7"/>
      <c r="P2" s="7"/>
      <c r="Q2" s="7"/>
    </row>
    <row r="3" spans="8:17" x14ac:dyDescent="0.25">
      <c r="H3" s="7"/>
      <c r="I3" s="7"/>
      <c r="J3" s="7"/>
      <c r="K3" s="7"/>
      <c r="L3" s="7"/>
      <c r="M3" s="7"/>
      <c r="N3" s="7"/>
      <c r="O3" s="7"/>
      <c r="P3" s="7"/>
      <c r="Q3" s="7"/>
    </row>
    <row r="4" spans="8:17" x14ac:dyDescent="0.25">
      <c r="H4" s="7"/>
      <c r="I4" s="7"/>
      <c r="J4" s="7"/>
      <c r="K4" s="7"/>
      <c r="L4" s="7"/>
      <c r="M4" s="7"/>
      <c r="N4" s="7"/>
      <c r="O4" s="7"/>
      <c r="P4" s="7"/>
      <c r="Q4" s="7"/>
    </row>
    <row r="8" spans="8:17" ht="15.75" thickBot="1" x14ac:dyDescent="0.3"/>
    <row r="9" spans="8:17" ht="18" thickBot="1" x14ac:dyDescent="0.35">
      <c r="H9" s="13" t="s">
        <v>37</v>
      </c>
      <c r="I9" s="13" t="s">
        <v>38</v>
      </c>
      <c r="J9" s="13" t="s">
        <v>39</v>
      </c>
      <c r="K9" s="13" t="s">
        <v>40</v>
      </c>
    </row>
    <row r="10" spans="8:17" ht="18" thickBot="1" x14ac:dyDescent="0.35">
      <c r="H10" s="8" t="s">
        <v>41</v>
      </c>
      <c r="I10" s="8" t="s">
        <v>42</v>
      </c>
      <c r="J10" s="10">
        <v>45000</v>
      </c>
      <c r="K10" s="8" t="s">
        <v>43</v>
      </c>
    </row>
    <row r="11" spans="8:17" ht="18" thickBot="1" x14ac:dyDescent="0.35">
      <c r="H11" s="9" t="s">
        <v>44</v>
      </c>
      <c r="I11" s="9" t="s">
        <v>45</v>
      </c>
      <c r="J11" s="11">
        <v>1200</v>
      </c>
      <c r="K11" s="9" t="s">
        <v>46</v>
      </c>
    </row>
    <row r="12" spans="8:17" ht="18" thickBot="1" x14ac:dyDescent="0.35">
      <c r="H12" s="8" t="s">
        <v>47</v>
      </c>
      <c r="I12" s="8" t="s">
        <v>48</v>
      </c>
      <c r="J12" s="10">
        <v>18000</v>
      </c>
      <c r="K12" s="8" t="s">
        <v>49</v>
      </c>
    </row>
    <row r="13" spans="8:17" ht="18" thickBot="1" x14ac:dyDescent="0.35">
      <c r="H13" s="9" t="s">
        <v>50</v>
      </c>
      <c r="I13" s="9" t="s">
        <v>51</v>
      </c>
      <c r="J13" s="11">
        <v>62000</v>
      </c>
      <c r="K13" s="9" t="s">
        <v>52</v>
      </c>
    </row>
    <row r="14" spans="8:17" ht="18" thickBot="1" x14ac:dyDescent="0.35">
      <c r="H14" s="8" t="s">
        <v>53</v>
      </c>
      <c r="I14" s="8" t="s">
        <v>42</v>
      </c>
      <c r="J14" s="12">
        <v>47352</v>
      </c>
      <c r="K14" s="8" t="s">
        <v>43</v>
      </c>
    </row>
    <row r="15" spans="8:17" ht="18" thickBot="1" x14ac:dyDescent="0.35">
      <c r="H15" s="9" t="s">
        <v>44</v>
      </c>
      <c r="I15" s="9" t="s">
        <v>45</v>
      </c>
      <c r="J15" s="12">
        <v>15706</v>
      </c>
      <c r="K15" s="9" t="s">
        <v>46</v>
      </c>
    </row>
    <row r="16" spans="8:17" ht="18" thickBot="1" x14ac:dyDescent="0.35">
      <c r="H16" s="8" t="s">
        <v>47</v>
      </c>
      <c r="I16" s="8" t="s">
        <v>48</v>
      </c>
      <c r="J16" s="12">
        <v>33840</v>
      </c>
      <c r="K16" s="8" t="s">
        <v>49</v>
      </c>
    </row>
    <row r="17" spans="8:11" ht="18" thickBot="1" x14ac:dyDescent="0.35">
      <c r="H17" s="9" t="s">
        <v>50</v>
      </c>
      <c r="I17" s="9" t="s">
        <v>51</v>
      </c>
      <c r="J17" s="12">
        <v>46919</v>
      </c>
      <c r="K17" s="9" t="s">
        <v>52</v>
      </c>
    </row>
    <row r="18" spans="8:11" ht="18" thickBot="1" x14ac:dyDescent="0.35">
      <c r="H18" s="8" t="s">
        <v>54</v>
      </c>
      <c r="I18" s="8" t="s">
        <v>42</v>
      </c>
      <c r="J18" s="12">
        <v>26691</v>
      </c>
      <c r="K18" s="8" t="s">
        <v>43</v>
      </c>
    </row>
    <row r="19" spans="8:11" ht="18" thickBot="1" x14ac:dyDescent="0.35">
      <c r="H19" s="9" t="s">
        <v>44</v>
      </c>
      <c r="I19" s="9" t="s">
        <v>45</v>
      </c>
      <c r="J19" s="12">
        <v>17746</v>
      </c>
      <c r="K19" s="9" t="s">
        <v>46</v>
      </c>
    </row>
    <row r="20" spans="8:11" ht="18" thickBot="1" x14ac:dyDescent="0.35">
      <c r="H20" s="8" t="s">
        <v>47</v>
      </c>
      <c r="I20" s="8" t="s">
        <v>48</v>
      </c>
      <c r="J20" s="12">
        <v>49893</v>
      </c>
      <c r="K20" s="8" t="s">
        <v>49</v>
      </c>
    </row>
    <row r="21" spans="8:11" ht="18" thickBot="1" x14ac:dyDescent="0.35">
      <c r="H21" s="9" t="s">
        <v>50</v>
      </c>
      <c r="I21" s="9" t="s">
        <v>51</v>
      </c>
      <c r="J21" s="12">
        <v>38695</v>
      </c>
      <c r="K21" s="9" t="s">
        <v>52</v>
      </c>
    </row>
    <row r="22" spans="8:11" ht="18" thickBot="1" x14ac:dyDescent="0.35">
      <c r="H22" s="8" t="s">
        <v>55</v>
      </c>
      <c r="I22" s="8" t="s">
        <v>42</v>
      </c>
      <c r="J22" s="12">
        <v>48476</v>
      </c>
      <c r="K22" s="8" t="s">
        <v>43</v>
      </c>
    </row>
    <row r="23" spans="8:11" ht="18" thickBot="1" x14ac:dyDescent="0.35">
      <c r="H23" s="9" t="s">
        <v>44</v>
      </c>
      <c r="I23" s="9" t="s">
        <v>45</v>
      </c>
      <c r="J23" s="12">
        <v>28983</v>
      </c>
      <c r="K23" s="9" t="s">
        <v>46</v>
      </c>
    </row>
    <row r="24" spans="8:11" ht="18" thickBot="1" x14ac:dyDescent="0.35">
      <c r="H24" s="8" t="s">
        <v>47</v>
      </c>
      <c r="I24" s="8" t="s">
        <v>48</v>
      </c>
      <c r="J24" s="12">
        <v>49741</v>
      </c>
      <c r="K24" s="8" t="s">
        <v>49</v>
      </c>
    </row>
    <row r="25" spans="8:11" ht="18" thickBot="1" x14ac:dyDescent="0.35">
      <c r="H25" s="9" t="s">
        <v>50</v>
      </c>
      <c r="I25" s="9" t="s">
        <v>51</v>
      </c>
      <c r="J25" s="12">
        <v>16170</v>
      </c>
      <c r="K25" s="9" t="s">
        <v>52</v>
      </c>
    </row>
    <row r="26" spans="8:11" ht="18" thickBot="1" x14ac:dyDescent="0.35">
      <c r="H26" s="8" t="s">
        <v>56</v>
      </c>
      <c r="I26" s="8" t="s">
        <v>42</v>
      </c>
      <c r="J26" s="12">
        <v>46202</v>
      </c>
      <c r="K26" s="8" t="s">
        <v>43</v>
      </c>
    </row>
    <row r="27" spans="8:11" ht="18" thickBot="1" x14ac:dyDescent="0.35">
      <c r="H27" s="9" t="s">
        <v>44</v>
      </c>
      <c r="I27" s="9" t="s">
        <v>45</v>
      </c>
      <c r="J27" s="12">
        <v>15528</v>
      </c>
      <c r="K27" s="9" t="s">
        <v>46</v>
      </c>
    </row>
  </sheetData>
  <mergeCells count="1">
    <mergeCell ref="H2:Q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8492-0ADE-4902-BDD0-539C0693FC1F}">
  <dimension ref="G3:P30"/>
  <sheetViews>
    <sheetView workbookViewId="0">
      <selection activeCell="O14" sqref="O14"/>
    </sheetView>
  </sheetViews>
  <sheetFormatPr defaultRowHeight="15" x14ac:dyDescent="0.25"/>
  <cols>
    <col min="8" max="8" width="17" customWidth="1"/>
    <col min="9" max="9" width="13" customWidth="1"/>
    <col min="10" max="10" width="12.28515625" customWidth="1"/>
    <col min="11" max="11" width="13.28515625" customWidth="1"/>
    <col min="12" max="12" width="16.85546875" customWidth="1"/>
  </cols>
  <sheetData>
    <row r="3" spans="7:16" x14ac:dyDescent="0.25">
      <c r="G3" s="14" t="s">
        <v>57</v>
      </c>
      <c r="H3" s="15"/>
      <c r="I3" s="15"/>
      <c r="J3" s="15"/>
      <c r="K3" s="15"/>
      <c r="L3" s="15"/>
      <c r="M3" s="15"/>
      <c r="N3" s="15"/>
      <c r="O3" s="15"/>
      <c r="P3" s="15"/>
    </row>
    <row r="4" spans="7:16" x14ac:dyDescent="0.25"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7:16" x14ac:dyDescent="0.25">
      <c r="G5" s="15"/>
      <c r="H5" s="15"/>
      <c r="I5" s="15"/>
      <c r="J5" s="15"/>
      <c r="K5" s="15"/>
      <c r="L5" s="15"/>
      <c r="M5" s="15"/>
      <c r="N5" s="15"/>
      <c r="O5" s="15"/>
      <c r="P5" s="15"/>
    </row>
    <row r="9" spans="7:16" ht="15.75" thickBot="1" x14ac:dyDescent="0.3"/>
    <row r="10" spans="7:16" ht="15.75" thickBot="1" x14ac:dyDescent="0.3">
      <c r="G10" s="19" t="s">
        <v>58</v>
      </c>
      <c r="H10" s="19" t="s">
        <v>59</v>
      </c>
      <c r="I10" s="19" t="s">
        <v>60</v>
      </c>
      <c r="J10" s="19" t="s">
        <v>61</v>
      </c>
      <c r="K10" s="19" t="s">
        <v>62</v>
      </c>
      <c r="L10" s="19" t="s">
        <v>63</v>
      </c>
    </row>
    <row r="11" spans="7:16" ht="18" thickBot="1" x14ac:dyDescent="0.3">
      <c r="G11" s="16">
        <v>1</v>
      </c>
      <c r="H11" s="16" t="s">
        <v>64</v>
      </c>
      <c r="I11" s="16">
        <v>78</v>
      </c>
      <c r="J11" s="16">
        <v>82</v>
      </c>
      <c r="K11" s="16">
        <v>74</v>
      </c>
      <c r="L11" s="17">
        <f>(I11+J11+K11)/300</f>
        <v>0.78</v>
      </c>
    </row>
    <row r="12" spans="7:16" ht="18" thickBot="1" x14ac:dyDescent="0.3">
      <c r="G12" s="18">
        <v>2</v>
      </c>
      <c r="H12" s="18" t="s">
        <v>65</v>
      </c>
      <c r="I12" s="18">
        <v>65</v>
      </c>
      <c r="J12" s="18">
        <v>70</v>
      </c>
      <c r="K12" s="18">
        <v>68</v>
      </c>
      <c r="L12" s="17">
        <f t="shared" ref="L12:L30" si="0">(I12+J12+K12)/300</f>
        <v>0.67666666666666664</v>
      </c>
    </row>
    <row r="13" spans="7:16" ht="18" thickBot="1" x14ac:dyDescent="0.3">
      <c r="G13" s="16">
        <v>3</v>
      </c>
      <c r="H13" s="16" t="s">
        <v>66</v>
      </c>
      <c r="I13" s="16">
        <v>90</v>
      </c>
      <c r="J13" s="16">
        <v>88</v>
      </c>
      <c r="K13" s="16">
        <v>92</v>
      </c>
      <c r="L13" s="17">
        <f t="shared" si="0"/>
        <v>0.9</v>
      </c>
    </row>
    <row r="14" spans="7:16" ht="18" thickBot="1" x14ac:dyDescent="0.3">
      <c r="G14" s="18">
        <v>4</v>
      </c>
      <c r="H14" s="18" t="s">
        <v>67</v>
      </c>
      <c r="I14" s="18">
        <v>35</v>
      </c>
      <c r="J14" s="18">
        <v>40</v>
      </c>
      <c r="K14" s="18">
        <v>38</v>
      </c>
      <c r="L14" s="17">
        <f t="shared" si="0"/>
        <v>0.37666666666666665</v>
      </c>
    </row>
    <row r="15" spans="7:16" ht="18" thickBot="1" x14ac:dyDescent="0.3">
      <c r="G15" s="16">
        <v>5</v>
      </c>
      <c r="H15" s="16" t="s">
        <v>68</v>
      </c>
      <c r="I15" s="16">
        <v>55</v>
      </c>
      <c r="J15" s="16">
        <v>60</v>
      </c>
      <c r="K15" s="16">
        <v>58</v>
      </c>
      <c r="L15" s="17">
        <f t="shared" si="0"/>
        <v>0.57666666666666666</v>
      </c>
    </row>
    <row r="16" spans="7:16" ht="18" thickBot="1" x14ac:dyDescent="0.3">
      <c r="G16" s="16">
        <v>6</v>
      </c>
      <c r="H16" s="16" t="s">
        <v>64</v>
      </c>
      <c r="I16" s="3">
        <v>57</v>
      </c>
      <c r="J16" s="3">
        <v>47</v>
      </c>
      <c r="K16" s="3">
        <v>95</v>
      </c>
      <c r="L16" s="17">
        <f t="shared" si="0"/>
        <v>0.66333333333333333</v>
      </c>
    </row>
    <row r="17" spans="7:12" ht="18" thickBot="1" x14ac:dyDescent="0.3">
      <c r="G17" s="18">
        <v>7</v>
      </c>
      <c r="H17" s="18" t="s">
        <v>65</v>
      </c>
      <c r="I17" s="3">
        <v>47</v>
      </c>
      <c r="J17" s="3">
        <v>55</v>
      </c>
      <c r="K17" s="3">
        <v>77</v>
      </c>
      <c r="L17" s="17">
        <f t="shared" si="0"/>
        <v>0.59666666666666668</v>
      </c>
    </row>
    <row r="18" spans="7:12" ht="18" thickBot="1" x14ac:dyDescent="0.3">
      <c r="G18" s="16">
        <v>8</v>
      </c>
      <c r="H18" s="16" t="s">
        <v>66</v>
      </c>
      <c r="I18" s="3">
        <v>38</v>
      </c>
      <c r="J18" s="3">
        <v>72</v>
      </c>
      <c r="K18" s="3">
        <v>94</v>
      </c>
      <c r="L18" s="17">
        <f t="shared" si="0"/>
        <v>0.68</v>
      </c>
    </row>
    <row r="19" spans="7:12" ht="18" thickBot="1" x14ac:dyDescent="0.3">
      <c r="G19" s="18">
        <v>9</v>
      </c>
      <c r="H19" s="18" t="s">
        <v>67</v>
      </c>
      <c r="I19" s="3">
        <v>51</v>
      </c>
      <c r="J19" s="3">
        <v>55</v>
      </c>
      <c r="K19" s="3">
        <v>59</v>
      </c>
      <c r="L19" s="17">
        <f t="shared" si="0"/>
        <v>0.55000000000000004</v>
      </c>
    </row>
    <row r="20" spans="7:12" ht="18" thickBot="1" x14ac:dyDescent="0.3">
      <c r="G20" s="16">
        <v>10</v>
      </c>
      <c r="H20" s="16" t="s">
        <v>68</v>
      </c>
      <c r="I20" s="3">
        <v>80</v>
      </c>
      <c r="J20" s="3">
        <v>61</v>
      </c>
      <c r="K20" s="3">
        <v>79</v>
      </c>
      <c r="L20" s="17">
        <f t="shared" si="0"/>
        <v>0.73333333333333328</v>
      </c>
    </row>
    <row r="21" spans="7:12" ht="18" thickBot="1" x14ac:dyDescent="0.3">
      <c r="G21" s="16">
        <v>11</v>
      </c>
      <c r="H21" s="16" t="s">
        <v>64</v>
      </c>
      <c r="I21" s="3">
        <v>58</v>
      </c>
      <c r="J21" s="3">
        <v>56</v>
      </c>
      <c r="K21" s="3">
        <v>97</v>
      </c>
      <c r="L21" s="17">
        <f t="shared" si="0"/>
        <v>0.70333333333333337</v>
      </c>
    </row>
    <row r="22" spans="7:12" ht="18" thickBot="1" x14ac:dyDescent="0.3">
      <c r="G22" s="18">
        <v>12</v>
      </c>
      <c r="H22" s="18" t="s">
        <v>65</v>
      </c>
      <c r="I22" s="3">
        <v>57</v>
      </c>
      <c r="J22" s="3">
        <v>35</v>
      </c>
      <c r="K22" s="3">
        <v>46</v>
      </c>
      <c r="L22" s="17">
        <f t="shared" si="0"/>
        <v>0.46</v>
      </c>
    </row>
    <row r="23" spans="7:12" ht="18" thickBot="1" x14ac:dyDescent="0.3">
      <c r="G23" s="16">
        <v>13</v>
      </c>
      <c r="H23" s="16" t="s">
        <v>66</v>
      </c>
      <c r="I23" s="3">
        <v>44</v>
      </c>
      <c r="J23" s="3">
        <v>99</v>
      </c>
      <c r="K23" s="3">
        <v>74</v>
      </c>
      <c r="L23" s="17">
        <f t="shared" si="0"/>
        <v>0.72333333333333338</v>
      </c>
    </row>
    <row r="24" spans="7:12" ht="18" thickBot="1" x14ac:dyDescent="0.3">
      <c r="G24" s="18">
        <v>14</v>
      </c>
      <c r="H24" s="18" t="s">
        <v>67</v>
      </c>
      <c r="I24" s="3">
        <v>86</v>
      </c>
      <c r="J24" s="3">
        <v>67</v>
      </c>
      <c r="K24" s="3">
        <v>62</v>
      </c>
      <c r="L24" s="17">
        <f t="shared" si="0"/>
        <v>0.71666666666666667</v>
      </c>
    </row>
    <row r="25" spans="7:12" ht="18" thickBot="1" x14ac:dyDescent="0.3">
      <c r="G25" s="16">
        <v>15</v>
      </c>
      <c r="H25" s="16" t="s">
        <v>68</v>
      </c>
      <c r="I25" s="3">
        <v>88</v>
      </c>
      <c r="J25" s="3">
        <v>94</v>
      </c>
      <c r="K25" s="3">
        <v>58</v>
      </c>
      <c r="L25" s="17">
        <f t="shared" si="0"/>
        <v>0.8</v>
      </c>
    </row>
    <row r="26" spans="7:12" ht="18" thickBot="1" x14ac:dyDescent="0.3">
      <c r="G26" s="16">
        <v>16</v>
      </c>
      <c r="H26" s="16" t="s">
        <v>64</v>
      </c>
      <c r="I26" s="3">
        <v>87</v>
      </c>
      <c r="J26" s="3">
        <v>94</v>
      </c>
      <c r="K26" s="3">
        <v>77</v>
      </c>
      <c r="L26" s="17">
        <f t="shared" si="0"/>
        <v>0.86</v>
      </c>
    </row>
    <row r="27" spans="7:12" ht="18" thickBot="1" x14ac:dyDescent="0.3">
      <c r="G27" s="18">
        <v>17</v>
      </c>
      <c r="H27" s="18" t="s">
        <v>65</v>
      </c>
      <c r="I27" s="3">
        <v>74</v>
      </c>
      <c r="J27" s="3">
        <v>77</v>
      </c>
      <c r="K27" s="3">
        <v>76</v>
      </c>
      <c r="L27" s="17">
        <f t="shared" si="0"/>
        <v>0.75666666666666671</v>
      </c>
    </row>
    <row r="28" spans="7:12" ht="18" thickBot="1" x14ac:dyDescent="0.3">
      <c r="G28" s="16">
        <v>18</v>
      </c>
      <c r="H28" s="16" t="s">
        <v>66</v>
      </c>
      <c r="I28" s="3">
        <v>64</v>
      </c>
      <c r="J28" s="3">
        <v>81</v>
      </c>
      <c r="K28" s="3">
        <v>81</v>
      </c>
      <c r="L28" s="17">
        <f t="shared" si="0"/>
        <v>0.7533333333333333</v>
      </c>
    </row>
    <row r="29" spans="7:12" ht="18" thickBot="1" x14ac:dyDescent="0.3">
      <c r="G29" s="18">
        <v>19</v>
      </c>
      <c r="H29" s="18" t="s">
        <v>67</v>
      </c>
      <c r="I29" s="3">
        <v>84</v>
      </c>
      <c r="J29" s="3">
        <v>34</v>
      </c>
      <c r="K29" s="3">
        <v>80</v>
      </c>
      <c r="L29" s="17">
        <f t="shared" si="0"/>
        <v>0.66</v>
      </c>
    </row>
    <row r="30" spans="7:12" ht="18" thickBot="1" x14ac:dyDescent="0.3">
      <c r="G30" s="16">
        <v>20</v>
      </c>
      <c r="H30" s="18" t="s">
        <v>67</v>
      </c>
      <c r="I30" s="1">
        <v>57</v>
      </c>
      <c r="J30" s="1">
        <v>62</v>
      </c>
      <c r="K30" s="1">
        <v>92</v>
      </c>
      <c r="L30" s="17">
        <f t="shared" si="0"/>
        <v>0.70333333333333337</v>
      </c>
    </row>
  </sheetData>
  <mergeCells count="1">
    <mergeCell ref="G3:P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DA9E-E3FC-4729-A941-FF9388BD7361}">
  <dimension ref="G3:R33"/>
  <sheetViews>
    <sheetView workbookViewId="0">
      <selection activeCell="Y34" sqref="Y34"/>
    </sheetView>
  </sheetViews>
  <sheetFormatPr defaultRowHeight="15" x14ac:dyDescent="0.25"/>
  <cols>
    <col min="7" max="7" width="16.85546875" customWidth="1"/>
    <col min="8" max="8" width="20.85546875" customWidth="1"/>
    <col min="9" max="9" width="21.140625" customWidth="1"/>
  </cols>
  <sheetData>
    <row r="3" spans="7:14" ht="15" customHeight="1" x14ac:dyDescent="0.25">
      <c r="G3" s="20" t="s">
        <v>69</v>
      </c>
      <c r="H3" s="21"/>
      <c r="I3" s="21"/>
      <c r="J3" s="21"/>
      <c r="K3" s="21"/>
      <c r="L3" s="21"/>
      <c r="M3" s="21"/>
      <c r="N3" s="21"/>
    </row>
    <row r="4" spans="7:14" x14ac:dyDescent="0.25">
      <c r="G4" s="21"/>
      <c r="H4" s="21"/>
      <c r="I4" s="21"/>
      <c r="J4" s="21"/>
      <c r="K4" s="21"/>
      <c r="L4" s="21"/>
      <c r="M4" s="21"/>
      <c r="N4" s="21"/>
    </row>
    <row r="5" spans="7:14" x14ac:dyDescent="0.25">
      <c r="G5" s="21"/>
      <c r="H5" s="21"/>
      <c r="I5" s="21"/>
      <c r="J5" s="21"/>
      <c r="K5" s="21"/>
      <c r="L5" s="21"/>
      <c r="M5" s="21"/>
      <c r="N5" s="21"/>
    </row>
    <row r="10" spans="7:14" ht="15.75" thickBot="1" x14ac:dyDescent="0.3"/>
    <row r="11" spans="7:14" ht="15.75" thickBot="1" x14ac:dyDescent="0.3">
      <c r="G11" s="19" t="s">
        <v>70</v>
      </c>
      <c r="H11" s="19" t="s">
        <v>71</v>
      </c>
      <c r="I11" s="19" t="s">
        <v>39</v>
      </c>
    </row>
    <row r="12" spans="7:14" ht="18" thickBot="1" x14ac:dyDescent="0.3">
      <c r="G12" s="16" t="s">
        <v>72</v>
      </c>
      <c r="H12" s="22">
        <v>45292</v>
      </c>
      <c r="I12" s="24">
        <v>12000</v>
      </c>
    </row>
    <row r="13" spans="7:14" ht="18" thickBot="1" x14ac:dyDescent="0.3">
      <c r="G13" s="18" t="s">
        <v>73</v>
      </c>
      <c r="H13" s="23">
        <v>45294</v>
      </c>
      <c r="I13" s="25">
        <v>25000</v>
      </c>
    </row>
    <row r="14" spans="7:14" ht="18" thickBot="1" x14ac:dyDescent="0.3">
      <c r="G14" s="16" t="s">
        <v>74</v>
      </c>
      <c r="H14" s="22">
        <v>45296</v>
      </c>
      <c r="I14" s="24">
        <v>8000</v>
      </c>
    </row>
    <row r="15" spans="7:14" ht="18" thickBot="1" x14ac:dyDescent="0.3">
      <c r="G15" s="18" t="s">
        <v>75</v>
      </c>
      <c r="H15" s="23">
        <v>45299</v>
      </c>
      <c r="I15" s="25">
        <v>32000</v>
      </c>
    </row>
    <row r="16" spans="7:14" ht="18" thickBot="1" x14ac:dyDescent="0.3">
      <c r="G16" s="16" t="s">
        <v>76</v>
      </c>
      <c r="H16" s="22">
        <v>45301</v>
      </c>
      <c r="I16" s="24">
        <v>15000</v>
      </c>
    </row>
    <row r="17" spans="7:18" ht="18" thickBot="1" x14ac:dyDescent="0.3">
      <c r="G17" s="16" t="s">
        <v>77</v>
      </c>
      <c r="H17" s="22">
        <v>45292</v>
      </c>
      <c r="I17" s="26">
        <v>16049</v>
      </c>
      <c r="O17" s="29" t="s">
        <v>92</v>
      </c>
      <c r="P17" s="29"/>
      <c r="Q17" s="30">
        <f>MAX(I12:I31)</f>
        <v>45863</v>
      </c>
      <c r="R17" s="29"/>
    </row>
    <row r="18" spans="7:18" ht="18" thickBot="1" x14ac:dyDescent="0.3">
      <c r="G18" s="18" t="s">
        <v>78</v>
      </c>
      <c r="H18" s="23">
        <v>45294</v>
      </c>
      <c r="I18" s="26">
        <v>29346</v>
      </c>
      <c r="O18" s="31"/>
      <c r="P18" s="31"/>
      <c r="Q18" s="31"/>
      <c r="R18" s="31"/>
    </row>
    <row r="19" spans="7:18" ht="18" thickBot="1" x14ac:dyDescent="0.3">
      <c r="G19" s="16" t="s">
        <v>79</v>
      </c>
      <c r="H19" s="22">
        <v>45296</v>
      </c>
      <c r="I19" s="26">
        <v>44206</v>
      </c>
      <c r="O19" s="29" t="s">
        <v>93</v>
      </c>
      <c r="P19" s="29"/>
      <c r="Q19" s="30">
        <f>MIN(I12:I31)</f>
        <v>8000</v>
      </c>
      <c r="R19" s="29"/>
    </row>
    <row r="20" spans="7:18" ht="18" thickBot="1" x14ac:dyDescent="0.3">
      <c r="G20" s="18" t="s">
        <v>80</v>
      </c>
      <c r="H20" s="23">
        <v>45299</v>
      </c>
      <c r="I20" s="26">
        <v>22705</v>
      </c>
      <c r="O20" s="31"/>
      <c r="P20" s="31"/>
      <c r="Q20" s="31"/>
      <c r="R20" s="31"/>
    </row>
    <row r="21" spans="7:18" ht="18" thickBot="1" x14ac:dyDescent="0.3">
      <c r="G21" s="16" t="s">
        <v>81</v>
      </c>
      <c r="H21" s="22">
        <v>45301</v>
      </c>
      <c r="I21" s="26">
        <v>38736</v>
      </c>
      <c r="O21" s="29" t="s">
        <v>94</v>
      </c>
      <c r="P21" s="29"/>
      <c r="Q21" s="30">
        <f>AVERAGE(I12:I31)</f>
        <v>27739.65</v>
      </c>
      <c r="R21" s="29"/>
    </row>
    <row r="22" spans="7:18" ht="18" thickBot="1" x14ac:dyDescent="0.3">
      <c r="G22" s="16" t="s">
        <v>82</v>
      </c>
      <c r="H22" s="22">
        <v>45292</v>
      </c>
      <c r="I22" s="26">
        <v>16888</v>
      </c>
    </row>
    <row r="23" spans="7:18" ht="18" thickBot="1" x14ac:dyDescent="0.3">
      <c r="G23" s="18" t="s">
        <v>83</v>
      </c>
      <c r="H23" s="23">
        <v>45294</v>
      </c>
      <c r="I23" s="26">
        <v>25909</v>
      </c>
    </row>
    <row r="24" spans="7:18" ht="18" thickBot="1" x14ac:dyDescent="0.3">
      <c r="G24" s="16" t="s">
        <v>84</v>
      </c>
      <c r="H24" s="22">
        <v>45296</v>
      </c>
      <c r="I24" s="26">
        <v>34851</v>
      </c>
    </row>
    <row r="25" spans="7:18" ht="18" thickBot="1" x14ac:dyDescent="0.3">
      <c r="G25" s="18" t="s">
        <v>85</v>
      </c>
      <c r="H25" s="23">
        <v>45299</v>
      </c>
      <c r="I25" s="26">
        <v>31772</v>
      </c>
    </row>
    <row r="26" spans="7:18" ht="18" thickBot="1" x14ac:dyDescent="0.3">
      <c r="G26" s="16" t="s">
        <v>86</v>
      </c>
      <c r="H26" s="22">
        <v>45301</v>
      </c>
      <c r="I26" s="26">
        <v>45863</v>
      </c>
    </row>
    <row r="27" spans="7:18" ht="18" thickBot="1" x14ac:dyDescent="0.3">
      <c r="G27" s="16" t="s">
        <v>87</v>
      </c>
      <c r="H27" s="22">
        <v>45292</v>
      </c>
      <c r="I27" s="26">
        <v>35168</v>
      </c>
    </row>
    <row r="28" spans="7:18" ht="18" thickBot="1" x14ac:dyDescent="0.3">
      <c r="G28" s="18" t="s">
        <v>88</v>
      </c>
      <c r="H28" s="23">
        <v>45294</v>
      </c>
      <c r="I28" s="26">
        <v>19491</v>
      </c>
    </row>
    <row r="29" spans="7:18" ht="18" thickBot="1" x14ac:dyDescent="0.3">
      <c r="G29" s="16" t="s">
        <v>89</v>
      </c>
      <c r="H29" s="22">
        <v>45296</v>
      </c>
      <c r="I29" s="26">
        <v>30019</v>
      </c>
    </row>
    <row r="30" spans="7:18" ht="18" thickBot="1" x14ac:dyDescent="0.3">
      <c r="G30" s="18" t="s">
        <v>90</v>
      </c>
      <c r="H30" s="23">
        <v>45299</v>
      </c>
      <c r="I30" s="26">
        <v>29158</v>
      </c>
    </row>
    <row r="31" spans="7:18" ht="18" thickBot="1" x14ac:dyDescent="0.3">
      <c r="G31" s="16" t="s">
        <v>91</v>
      </c>
      <c r="H31" s="22">
        <v>45301</v>
      </c>
      <c r="I31" s="26">
        <v>42632</v>
      </c>
    </row>
    <row r="32" spans="7:18" x14ac:dyDescent="0.25">
      <c r="I32" s="27">
        <f>SUM(I12:I31)</f>
        <v>554793</v>
      </c>
    </row>
    <row r="33" spans="9:9" x14ac:dyDescent="0.25">
      <c r="I33" s="28"/>
    </row>
  </sheetData>
  <mergeCells count="8">
    <mergeCell ref="G3:N5"/>
    <mergeCell ref="I32:I33"/>
    <mergeCell ref="O17:P17"/>
    <mergeCell ref="O19:P19"/>
    <mergeCell ref="Q17:R17"/>
    <mergeCell ref="Q19:R19"/>
    <mergeCell ref="O21:P21"/>
    <mergeCell ref="Q21:R2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2B15-30AA-480D-BF8C-445FEA456A63}">
  <dimension ref="G3:R47"/>
  <sheetViews>
    <sheetView tabSelected="1" topLeftCell="A6" workbookViewId="0">
      <selection activeCell="L16" sqref="L16"/>
    </sheetView>
  </sheetViews>
  <sheetFormatPr defaultRowHeight="15" x14ac:dyDescent="0.25"/>
  <cols>
    <col min="7" max="7" width="19.7109375" customWidth="1"/>
    <col min="8" max="8" width="13.5703125" customWidth="1"/>
    <col min="9" max="9" width="21" customWidth="1"/>
  </cols>
  <sheetData>
    <row r="3" spans="7:18" x14ac:dyDescent="0.25">
      <c r="G3" s="32" t="s">
        <v>95</v>
      </c>
      <c r="H3" s="15"/>
      <c r="I3" s="15"/>
      <c r="J3" s="15"/>
      <c r="K3" s="15"/>
      <c r="L3" s="15"/>
      <c r="M3" s="15"/>
      <c r="N3" s="15"/>
      <c r="O3" s="15"/>
    </row>
    <row r="4" spans="7:18" x14ac:dyDescent="0.25">
      <c r="G4" s="15"/>
      <c r="H4" s="15"/>
      <c r="I4" s="15"/>
      <c r="J4" s="15"/>
      <c r="K4" s="15"/>
      <c r="L4" s="15"/>
      <c r="M4" s="15"/>
      <c r="N4" s="15"/>
      <c r="O4" s="15"/>
    </row>
    <row r="5" spans="7:18" x14ac:dyDescent="0.25">
      <c r="G5" s="15"/>
      <c r="H5" s="15"/>
      <c r="I5" s="15"/>
      <c r="J5" s="15"/>
      <c r="K5" s="15"/>
      <c r="L5" s="15"/>
      <c r="M5" s="15"/>
      <c r="N5" s="15"/>
      <c r="O5" s="15"/>
    </row>
    <row r="10" spans="7:18" ht="15.75" thickBot="1" x14ac:dyDescent="0.3"/>
    <row r="11" spans="7:18" ht="15.75" thickBot="1" x14ac:dyDescent="0.3">
      <c r="G11" s="19" t="s">
        <v>96</v>
      </c>
      <c r="H11" s="19" t="s">
        <v>2</v>
      </c>
      <c r="I11" s="19" t="s">
        <v>3</v>
      </c>
    </row>
    <row r="12" spans="7:18" ht="18" thickBot="1" x14ac:dyDescent="0.3">
      <c r="G12" s="16" t="s">
        <v>97</v>
      </c>
      <c r="H12" s="16" t="s">
        <v>7</v>
      </c>
      <c r="I12" s="33">
        <v>28000</v>
      </c>
    </row>
    <row r="13" spans="7:18" ht="18" thickBot="1" x14ac:dyDescent="0.3">
      <c r="G13" s="18" t="s">
        <v>98</v>
      </c>
      <c r="H13" s="18" t="s">
        <v>10</v>
      </c>
      <c r="I13" s="34">
        <v>45000</v>
      </c>
    </row>
    <row r="14" spans="7:18" ht="18" thickBot="1" x14ac:dyDescent="0.3">
      <c r="G14" s="16" t="s">
        <v>99</v>
      </c>
      <c r="H14" s="16" t="s">
        <v>10</v>
      </c>
      <c r="I14" s="33">
        <v>50000</v>
      </c>
    </row>
    <row r="15" spans="7:18" ht="18" thickBot="1" x14ac:dyDescent="0.3">
      <c r="G15" s="18" t="s">
        <v>100</v>
      </c>
      <c r="H15" s="18" t="s">
        <v>13</v>
      </c>
      <c r="I15" s="34">
        <v>42000</v>
      </c>
      <c r="O15" s="35" t="s">
        <v>103</v>
      </c>
      <c r="P15" s="35"/>
      <c r="Q15" s="36">
        <f>AVERAGE(I12:I47)</f>
        <v>33031.527777777781</v>
      </c>
      <c r="R15" s="35"/>
    </row>
    <row r="16" spans="7:18" ht="18" thickBot="1" x14ac:dyDescent="0.3">
      <c r="G16" s="16" t="s">
        <v>101</v>
      </c>
      <c r="H16" s="16" t="s">
        <v>7</v>
      </c>
      <c r="I16" s="33">
        <v>30000</v>
      </c>
      <c r="O16" s="35" t="s">
        <v>104</v>
      </c>
      <c r="P16" s="35"/>
      <c r="Q16" s="35">
        <f>COUNTA(G12:G47)</f>
        <v>36</v>
      </c>
      <c r="R16" s="35"/>
    </row>
    <row r="17" spans="7:18" ht="18" thickBot="1" x14ac:dyDescent="0.3">
      <c r="G17" s="18" t="s">
        <v>102</v>
      </c>
      <c r="H17" s="18" t="s">
        <v>13</v>
      </c>
      <c r="I17" s="34">
        <v>38000</v>
      </c>
    </row>
    <row r="18" spans="7:18" ht="18" thickBot="1" x14ac:dyDescent="0.3">
      <c r="G18" s="16" t="s">
        <v>97</v>
      </c>
      <c r="H18" s="16" t="s">
        <v>7</v>
      </c>
      <c r="I18" s="4">
        <v>15452</v>
      </c>
      <c r="O18" s="37" t="s">
        <v>105</v>
      </c>
      <c r="P18" s="2"/>
      <c r="Q18" s="2"/>
      <c r="R18" s="2"/>
    </row>
    <row r="19" spans="7:18" ht="18" thickBot="1" x14ac:dyDescent="0.3">
      <c r="G19" s="18" t="s">
        <v>98</v>
      </c>
      <c r="H19" s="18" t="s">
        <v>10</v>
      </c>
      <c r="I19" s="4">
        <v>34164</v>
      </c>
      <c r="O19" s="2"/>
      <c r="P19" s="2"/>
      <c r="Q19" s="2"/>
      <c r="R19" s="2"/>
    </row>
    <row r="20" spans="7:18" ht="18" thickBot="1" x14ac:dyDescent="0.3">
      <c r="G20" s="16" t="s">
        <v>99</v>
      </c>
      <c r="H20" s="16" t="s">
        <v>10</v>
      </c>
      <c r="I20" s="4">
        <v>22824</v>
      </c>
    </row>
    <row r="21" spans="7:18" ht="18" thickBot="1" x14ac:dyDescent="0.3">
      <c r="G21" s="18" t="s">
        <v>100</v>
      </c>
      <c r="H21" s="18" t="s">
        <v>13</v>
      </c>
      <c r="I21" s="4">
        <v>28196</v>
      </c>
      <c r="O21" t="s">
        <v>7</v>
      </c>
    </row>
    <row r="22" spans="7:18" ht="18" thickBot="1" x14ac:dyDescent="0.3">
      <c r="G22" s="16" t="s">
        <v>101</v>
      </c>
      <c r="H22" s="16" t="s">
        <v>7</v>
      </c>
      <c r="I22" s="4">
        <v>34213</v>
      </c>
    </row>
    <row r="23" spans="7:18" ht="18" thickBot="1" x14ac:dyDescent="0.3">
      <c r="G23" s="18" t="s">
        <v>102</v>
      </c>
      <c r="H23" s="18" t="s">
        <v>13</v>
      </c>
      <c r="I23" s="4">
        <v>26048</v>
      </c>
    </row>
    <row r="24" spans="7:18" ht="18" thickBot="1" x14ac:dyDescent="0.3">
      <c r="G24" s="16" t="s">
        <v>97</v>
      </c>
      <c r="H24" s="16" t="s">
        <v>7</v>
      </c>
      <c r="I24" s="4">
        <v>36833</v>
      </c>
    </row>
    <row r="25" spans="7:18" ht="18" thickBot="1" x14ac:dyDescent="0.3">
      <c r="G25" s="18" t="s">
        <v>98</v>
      </c>
      <c r="H25" s="18" t="s">
        <v>10</v>
      </c>
      <c r="I25" s="4">
        <v>21480</v>
      </c>
    </row>
    <row r="26" spans="7:18" ht="18" thickBot="1" x14ac:dyDescent="0.3">
      <c r="G26" s="16" t="s">
        <v>99</v>
      </c>
      <c r="H26" s="16" t="s">
        <v>10</v>
      </c>
      <c r="I26" s="4">
        <v>28465</v>
      </c>
    </row>
    <row r="27" spans="7:18" ht="18" thickBot="1" x14ac:dyDescent="0.3">
      <c r="G27" s="18" t="s">
        <v>100</v>
      </c>
      <c r="H27" s="18" t="s">
        <v>13</v>
      </c>
      <c r="I27" s="4">
        <v>22334</v>
      </c>
    </row>
    <row r="28" spans="7:18" ht="18" thickBot="1" x14ac:dyDescent="0.3">
      <c r="G28" s="16" t="s">
        <v>101</v>
      </c>
      <c r="H28" s="16" t="s">
        <v>7</v>
      </c>
      <c r="I28" s="4">
        <v>43719</v>
      </c>
    </row>
    <row r="29" spans="7:18" ht="18" thickBot="1" x14ac:dyDescent="0.3">
      <c r="G29" s="18" t="s">
        <v>102</v>
      </c>
      <c r="H29" s="18" t="s">
        <v>13</v>
      </c>
      <c r="I29" s="4">
        <v>40348</v>
      </c>
    </row>
    <row r="30" spans="7:18" ht="18" thickBot="1" x14ac:dyDescent="0.3">
      <c r="G30" s="16" t="s">
        <v>97</v>
      </c>
      <c r="H30" s="16" t="s">
        <v>7</v>
      </c>
      <c r="I30" s="4">
        <v>27261</v>
      </c>
    </row>
    <row r="31" spans="7:18" ht="18" thickBot="1" x14ac:dyDescent="0.3">
      <c r="G31" s="18" t="s">
        <v>98</v>
      </c>
      <c r="H31" s="18" t="s">
        <v>10</v>
      </c>
      <c r="I31" s="4">
        <v>32964</v>
      </c>
    </row>
    <row r="32" spans="7:18" ht="18" thickBot="1" x14ac:dyDescent="0.3">
      <c r="G32" s="16" t="s">
        <v>99</v>
      </c>
      <c r="H32" s="16" t="s">
        <v>10</v>
      </c>
      <c r="I32" s="4">
        <v>33117</v>
      </c>
    </row>
    <row r="33" spans="7:9" ht="18" thickBot="1" x14ac:dyDescent="0.3">
      <c r="G33" s="18" t="s">
        <v>100</v>
      </c>
      <c r="H33" s="18" t="s">
        <v>13</v>
      </c>
      <c r="I33" s="4">
        <v>32050</v>
      </c>
    </row>
    <row r="34" spans="7:9" ht="18" thickBot="1" x14ac:dyDescent="0.3">
      <c r="G34" s="16" t="s">
        <v>101</v>
      </c>
      <c r="H34" s="16" t="s">
        <v>7</v>
      </c>
      <c r="I34" s="4">
        <v>27351</v>
      </c>
    </row>
    <row r="35" spans="7:9" ht="18" thickBot="1" x14ac:dyDescent="0.3">
      <c r="G35" s="18" t="s">
        <v>102</v>
      </c>
      <c r="H35" s="18" t="s">
        <v>13</v>
      </c>
      <c r="I35" s="4">
        <v>30922</v>
      </c>
    </row>
    <row r="36" spans="7:9" ht="18" thickBot="1" x14ac:dyDescent="0.3">
      <c r="G36" s="16" t="s">
        <v>97</v>
      </c>
      <c r="H36" s="16" t="s">
        <v>7</v>
      </c>
      <c r="I36" s="4">
        <v>35029</v>
      </c>
    </row>
    <row r="37" spans="7:9" ht="18" thickBot="1" x14ac:dyDescent="0.3">
      <c r="G37" s="18" t="s">
        <v>98</v>
      </c>
      <c r="H37" s="18" t="s">
        <v>10</v>
      </c>
      <c r="I37" s="4">
        <v>44324</v>
      </c>
    </row>
    <row r="38" spans="7:9" ht="18" thickBot="1" x14ac:dyDescent="0.3">
      <c r="G38" s="16" t="s">
        <v>99</v>
      </c>
      <c r="H38" s="16" t="s">
        <v>10</v>
      </c>
      <c r="I38" s="4">
        <v>49343</v>
      </c>
    </row>
    <row r="39" spans="7:9" ht="18" thickBot="1" x14ac:dyDescent="0.3">
      <c r="G39" s="18" t="s">
        <v>100</v>
      </c>
      <c r="H39" s="18" t="s">
        <v>13</v>
      </c>
      <c r="I39" s="4">
        <v>20830</v>
      </c>
    </row>
    <row r="40" spans="7:9" ht="18" thickBot="1" x14ac:dyDescent="0.3">
      <c r="G40" s="16" t="s">
        <v>101</v>
      </c>
      <c r="H40" s="16" t="s">
        <v>7</v>
      </c>
      <c r="I40" s="4">
        <v>45690</v>
      </c>
    </row>
    <row r="41" spans="7:9" ht="18" thickBot="1" x14ac:dyDescent="0.3">
      <c r="G41" s="18" t="s">
        <v>102</v>
      </c>
      <c r="H41" s="18" t="s">
        <v>13</v>
      </c>
      <c r="I41" s="4">
        <v>20520</v>
      </c>
    </row>
    <row r="42" spans="7:9" ht="18" thickBot="1" x14ac:dyDescent="0.3">
      <c r="G42" s="16" t="s">
        <v>97</v>
      </c>
      <c r="H42" s="16" t="s">
        <v>7</v>
      </c>
      <c r="I42" s="4">
        <v>24643</v>
      </c>
    </row>
    <row r="43" spans="7:9" ht="18" thickBot="1" x14ac:dyDescent="0.3">
      <c r="G43" s="18" t="s">
        <v>98</v>
      </c>
      <c r="H43" s="18" t="s">
        <v>10</v>
      </c>
      <c r="I43" s="4">
        <v>34526</v>
      </c>
    </row>
    <row r="44" spans="7:9" ht="18" thickBot="1" x14ac:dyDescent="0.3">
      <c r="G44" s="16" t="s">
        <v>99</v>
      </c>
      <c r="H44" s="16" t="s">
        <v>10</v>
      </c>
      <c r="I44" s="4">
        <v>23887</v>
      </c>
    </row>
    <row r="45" spans="7:9" ht="18" thickBot="1" x14ac:dyDescent="0.3">
      <c r="G45" s="18" t="s">
        <v>100</v>
      </c>
      <c r="H45" s="18" t="s">
        <v>13</v>
      </c>
      <c r="I45" s="4">
        <v>24413</v>
      </c>
    </row>
    <row r="46" spans="7:9" ht="18" thickBot="1" x14ac:dyDescent="0.3">
      <c r="G46" s="16" t="s">
        <v>101</v>
      </c>
      <c r="H46" s="16" t="s">
        <v>7</v>
      </c>
      <c r="I46" s="4">
        <v>47465</v>
      </c>
    </row>
    <row r="47" spans="7:9" ht="18" thickBot="1" x14ac:dyDescent="0.3">
      <c r="G47" s="18" t="s">
        <v>102</v>
      </c>
      <c r="H47" s="18" t="s">
        <v>13</v>
      </c>
      <c r="I47" s="4">
        <v>47724</v>
      </c>
    </row>
  </sheetData>
  <mergeCells count="6">
    <mergeCell ref="G3:O5"/>
    <mergeCell ref="O15:P15"/>
    <mergeCell ref="Q15:R15"/>
    <mergeCell ref="O16:P16"/>
    <mergeCell ref="Q16:R16"/>
    <mergeCell ref="O18:R19"/>
  </mergeCells>
  <conditionalFormatting sqref="P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ASDC38</dc:creator>
  <cp:lastModifiedBy>ASDC38</cp:lastModifiedBy>
  <dcterms:created xsi:type="dcterms:W3CDTF">2026-06-24T07:16:24Z</dcterms:created>
  <dcterms:modified xsi:type="dcterms:W3CDTF">2026-06-24T07:44:46Z</dcterms:modified>
</cp:coreProperties>
</file>